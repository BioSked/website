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 d’emploi" sheetId="1" r:id="rId1"/>
    <sheet name="Paramètres" sheetId="2" r:id="rId2"/>
    <sheet name="Équipe" sheetId="3" r:id="rId3"/>
    <sheet name="Absences" sheetId="4" r:id="rId4"/>
    <sheet name="Fériés" sheetId="5" r:id="rId5"/>
    <sheet name="Planning" sheetId="6" r:id="rId6"/>
    <sheet name="Compteurs" sheetId="7" r:id="rId7"/>
  </sheets>
  <definedNames>
    <definedName name="_xlnm._FilterDatabase" localSheetId="5" hidden="1">Planning!$A$1:$E$367</definedName>
    <definedName name="AbsAu">Absences!$C$2:$C$61</definedName>
    <definedName name="AbsDu">Absences!$B$2:$B$61</definedName>
    <definedName name="AbsMed">Absences!$A$2:$A$61</definedName>
    <definedName name="Debut">'Paramètres'!$B$2</definedName>
    <definedName name="Feries">'Fériés'!$A$2:$A$34</definedName>
    <definedName name="Medecins">'Équipe'!$A$2:$A$31</definedName>
    <definedName name="Quotites">'Équipe'!$B$2:$B$31</definedName>
  </definedNames>
  <calcPr calcId="124519" fullCalcOnLoad="1"/>
</workbook>
</file>

<file path=xl/sharedStrings.xml><?xml version="1.0" encoding="utf-8"?>
<sst xmlns="http://schemas.openxmlformats.org/spreadsheetml/2006/main" count="154" uniqueCount="67">
  <si>
    <t>Modèle de planning de garde des médecins</t>
  </si>
  <si>
    <t>Gratuit, sans macro. Pour un service : deux lignes de garde, compteurs d’équité et contrôles automatiques.</t>
  </si>
  <si>
    <t>1. Paramètres</t>
  </si>
  <si>
    <t>Indiquez la date de début (le planning couvre un an) et le nom de vos deux lignes, par exemple « Garde sur place » et « Astreinte ».</t>
  </si>
  <si>
    <t>2. Équipe</t>
  </si>
  <si>
    <t>Saisissez les médecins et leur quotité (100 % pour un temps plein, 80 % pour un 4/5). Les compteurs ramènent la part attendue de chacun à sa quotité.</t>
  </si>
  <si>
    <t>3. Absences</t>
  </si>
  <si>
    <t>Notez les congés, formations et indisponibilités connus (médecin, du, au). Le planning signale toute garde posée sur une absence.</t>
  </si>
  <si>
    <t>4. Planning</t>
  </si>
  <si>
    <t>Choisissez un médecin par ligne et par jour dans la liste. Les samedis, dimanches et jours fériés sont colorés. Les quatre premières semaines contiennent un exemple : effacez-le.</t>
  </si>
  <si>
    <t>5. Contrôles</t>
  </si>
  <si>
    <t>La colonne « Contrôles » signale : même médecin sur deux jours de suite sur une ligne, même médecin sur les deux lignes le même jour, garde posée pendant une absence.</t>
  </si>
  <si>
    <t>6. Compteurs</t>
  </si>
  <si>
    <t>Pour chaque médecin : gardes par ligne, dont samedis, dimanches et fériés, part attendue selon la quotité et écart. Un écart positif signifie plus de gardes que sa part.</t>
  </si>
  <si>
    <t>À savoir</t>
  </si>
  <si>
    <t>Un jour férié tombant un samedi ou un dimanche est compté comme férié. Les contrôles aident la relecture ; ils ne remplacent pas les règles de votre établissement ni les textes applicables (article R6152-27 du Code de la santé publique pour les praticiens hospitaliers).</t>
  </si>
  <si>
    <t>Guide complet</t>
  </si>
  <si>
    <t>Planning de garde des médecins : règles, équité et méthode</t>
  </si>
  <si>
    <t>Plus de lignes ou de sites ?</t>
  </si>
  <si>
    <t>Momentum génère le planning de garde selon vos règles : voir comment</t>
  </si>
  <si>
    <t>Paramètre</t>
  </si>
  <si>
    <t>Valeur</t>
  </si>
  <si>
    <t>Début du planning</t>
  </si>
  <si>
    <t>Nom de la ligne 1</t>
  </si>
  <si>
    <t>Garde sur place</t>
  </si>
  <si>
    <t>Nom de la ligne 2</t>
  </si>
  <si>
    <t>Astreinte</t>
  </si>
  <si>
    <t>Médecin</t>
  </si>
  <si>
    <t>Quotité</t>
  </si>
  <si>
    <t>Médecin 1</t>
  </si>
  <si>
    <t>Médecin 2</t>
  </si>
  <si>
    <t>Médecin 3</t>
  </si>
  <si>
    <t>Médecin 4</t>
  </si>
  <si>
    <t>Médecin 5</t>
  </si>
  <si>
    <t>Médecin 6</t>
  </si>
  <si>
    <t>Médecin 7</t>
  </si>
  <si>
    <t>Médecin 8</t>
  </si>
  <si>
    <t>Médecin 9</t>
  </si>
  <si>
    <t>Du</t>
  </si>
  <si>
    <t>Au</t>
  </si>
  <si>
    <t>Motif</t>
  </si>
  <si>
    <t>Congés</t>
  </si>
  <si>
    <t>Date</t>
  </si>
  <si>
    <t>Jour férié</t>
  </si>
  <si>
    <t>Jour de l’an</t>
  </si>
  <si>
    <t>Lundi de Pâques</t>
  </si>
  <si>
    <t>Fête du travail</t>
  </si>
  <si>
    <t>Victoire 1945</t>
  </si>
  <si>
    <t>Ascension</t>
  </si>
  <si>
    <t>Lundi de Pentecôte</t>
  </si>
  <si>
    <t>Fête nationale</t>
  </si>
  <si>
    <t>Assomption</t>
  </si>
  <si>
    <t>Toussaint</t>
  </si>
  <si>
    <t>Armistice 1918</t>
  </si>
  <si>
    <t>Noël</t>
  </si>
  <si>
    <t>Type de jour</t>
  </si>
  <si>
    <t>Contrôles</t>
  </si>
  <si>
    <t>Équité (ligne 1)</t>
  </si>
  <si>
    <t>Total</t>
  </si>
  <si>
    <t>dont semaine</t>
  </si>
  <si>
    <t>Samedis</t>
  </si>
  <si>
    <t>Dimanches</t>
  </si>
  <si>
    <t>Fériés</t>
  </si>
  <si>
    <t>Part attendue</t>
  </si>
  <si>
    <t>Écart</t>
  </si>
  <si>
    <t>Week-ends et fériés</t>
  </si>
  <si>
    <t>Part attendue = gardes posées sur la ligne 1 × quotité du médecin ÷ somme des quotités.</t>
  </si>
</sst>
</file>

<file path=xl/styles.xml><?xml version="1.0" encoding="utf-8"?>
<styleSheet xmlns="http://schemas.openxmlformats.org/spreadsheetml/2006/main">
  <numFmts count="5">
    <numFmt numFmtId="164" formatCode="dd/mm/yyyy"/>
    <numFmt numFmtId="165" formatCode="0%"/>
    <numFmt numFmtId="166" formatCode="ddd dd/mm/yyyy"/>
    <numFmt numFmtId="167" formatCode="0.0"/>
    <numFmt numFmtId="168" formatCode="+0.0;-0.0;0.0"/>
  </numFmts>
  <fonts count="8">
    <font>
      <sz val="11"/>
      <color theme="1"/>
      <name val="Calibri"/>
      <family val="2"/>
      <scheme val="minor"/>
    </font>
    <font>
      <b/>
      <sz val="16"/>
      <color rgb="FF0B1F44"/>
      <name val="Calibri"/>
      <family val="2"/>
      <scheme val="minor"/>
    </font>
    <font>
      <sz val="11"/>
      <color rgb="FF5B6470"/>
      <name val="Calibri"/>
      <family val="2"/>
      <scheme val="minor"/>
    </font>
    <font>
      <b/>
      <sz val="11"/>
      <color rgb="FF0B1F44"/>
      <name val="Calibri"/>
      <family val="2"/>
      <scheme val="minor"/>
    </font>
    <font>
      <u/>
      <sz val="11"/>
      <color rgb="FF0E749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B4231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B1F44"/>
        <bgColor indexed="64"/>
      </patternFill>
    </fill>
    <fill>
      <patternFill patternType="solid">
        <fgColor rgb="FFFFFBEA"/>
        <bgColor indexed="64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2" borderId="1" xfId="0" applyFont="1" applyFill="1" applyBorder="1" applyAlignment="1">
      <alignment vertical="center" wrapText="1"/>
    </xf>
    <xf numFmtId="0" fontId="0" fillId="0" borderId="1" xfId="0" applyBorder="1"/>
    <xf numFmtId="164" fontId="0" fillId="3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166" fontId="0" fillId="0" borderId="1" xfId="0" applyNumberFormat="1" applyBorder="1"/>
    <xf numFmtId="0" fontId="6" fillId="0" borderId="1" xfId="0" applyFont="1" applyBorder="1" applyAlignment="1">
      <alignment wrapText="1"/>
    </xf>
    <xf numFmtId="165" fontId="0" fillId="0" borderId="1" xfId="0" applyNumberFormat="1" applyBorder="1"/>
    <xf numFmtId="1" fontId="0" fillId="0" borderId="1" xfId="0" applyNumberFormat="1" applyBorder="1"/>
    <xf numFmtId="167" fontId="0" fillId="0" borderId="1" xfId="0" applyNumberFormat="1" applyBorder="1"/>
    <xf numFmtId="168" fontId="7" fillId="0" borderId="1" xfId="0" applyNumberFormat="1" applyFont="1" applyBorder="1"/>
  </cellXfs>
  <cellStyles count="1">
    <cellStyle name="Normal" xfId="0" builtinId="0"/>
  </cellStyles>
  <dxfs count="4">
    <dxf>
      <fill>
        <patternFill>
          <bgColor rgb="FFE0F2F1"/>
        </patternFill>
      </fill>
    </dxf>
    <dxf>
      <fill>
        <patternFill>
          <bgColor rgb="FFEEF2F7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9A3412"/>
      </font>
      <fill>
        <patternFill>
          <bgColor rgb="FFFFEFD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iosked.com/fr/blog/planning-de-garde-medecins/" TargetMode="External"/><Relationship Id="rId2" Type="http://schemas.openxmlformats.org/officeDocument/2006/relationships/hyperlink" Target="https://biosked.com/fr/fonctionnalites/plannings-de-garde-centralis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16"/>
  <sheetViews>
    <sheetView showGridLines="0" tabSelected="1" workbookViewId="0"/>
  </sheetViews>
  <sheetFormatPr defaultRowHeight="15"/>
  <cols>
    <col min="1" max="1" width="4.7109375" customWidth="1"/>
    <col min="2" max="2" width="26.7109375" customWidth="1"/>
    <col min="3" max="3" width="90.7109375" customWidth="1"/>
  </cols>
  <sheetData>
    <row r="2" spans="2:3">
      <c r="B2" s="1" t="s">
        <v>0</v>
      </c>
    </row>
    <row r="3" spans="2:3">
      <c r="B3" s="2" t="s">
        <v>1</v>
      </c>
    </row>
    <row r="6" spans="2:3" ht="32" customHeight="1">
      <c r="B6" s="3" t="s">
        <v>2</v>
      </c>
      <c r="C6" s="2" t="s">
        <v>3</v>
      </c>
    </row>
    <row r="7" spans="2:3" ht="32" customHeight="1">
      <c r="B7" s="3" t="s">
        <v>4</v>
      </c>
      <c r="C7" s="2" t="s">
        <v>5</v>
      </c>
    </row>
    <row r="8" spans="2:3" ht="32" customHeight="1">
      <c r="B8" s="3" t="s">
        <v>6</v>
      </c>
      <c r="C8" s="2" t="s">
        <v>7</v>
      </c>
    </row>
    <row r="9" spans="2:3" ht="32" customHeight="1">
      <c r="B9" s="3" t="s">
        <v>8</v>
      </c>
      <c r="C9" s="2" t="s">
        <v>9</v>
      </c>
    </row>
    <row r="10" spans="2:3" ht="32" customHeight="1">
      <c r="B10" s="3" t="s">
        <v>10</v>
      </c>
      <c r="C10" s="2" t="s">
        <v>11</v>
      </c>
    </row>
    <row r="11" spans="2:3" ht="32" customHeight="1">
      <c r="B11" s="3" t="s">
        <v>12</v>
      </c>
      <c r="C11" s="2" t="s">
        <v>13</v>
      </c>
    </row>
    <row r="13" spans="2:3" ht="46" customHeight="1">
      <c r="B13" s="3" t="s">
        <v>14</v>
      </c>
      <c r="C13" s="2" t="s">
        <v>15</v>
      </c>
    </row>
    <row r="15" spans="2:3">
      <c r="B15" s="3" t="s">
        <v>16</v>
      </c>
      <c r="C15" s="4" t="s">
        <v>17</v>
      </c>
    </row>
    <row r="16" spans="2:3">
      <c r="B16" s="3" t="s">
        <v>18</v>
      </c>
      <c r="C16" s="4" t="s">
        <v>19</v>
      </c>
    </row>
  </sheetData>
  <hyperlinks>
    <hyperlink ref="C15" r:id="rId1"/>
    <hyperlink ref="C16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cols>
    <col min="1" max="1" width="28.7109375" customWidth="1"/>
    <col min="2" max="2" width="22.7109375" customWidth="1"/>
  </cols>
  <sheetData>
    <row r="1" spans="1:2">
      <c r="A1" s="5" t="s">
        <v>20</v>
      </c>
      <c r="B1" s="5" t="s">
        <v>21</v>
      </c>
    </row>
    <row r="2" spans="1:2">
      <c r="A2" s="6" t="s">
        <v>22</v>
      </c>
      <c r="B2" s="7">
        <v>46388</v>
      </c>
    </row>
    <row r="3" spans="1:2">
      <c r="A3" s="6" t="s">
        <v>23</v>
      </c>
      <c r="B3" s="8" t="s">
        <v>24</v>
      </c>
    </row>
    <row r="4" spans="1:2">
      <c r="A4" s="6" t="s">
        <v>25</v>
      </c>
      <c r="B4" s="8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31"/>
  <sheetViews>
    <sheetView workbookViewId="0"/>
  </sheetViews>
  <sheetFormatPr defaultRowHeight="15"/>
  <cols>
    <col min="1" max="1" width="26.7109375" customWidth="1"/>
    <col min="2" max="2" width="12.7109375" customWidth="1"/>
  </cols>
  <sheetData>
    <row r="1" spans="1:2">
      <c r="A1" s="5" t="s">
        <v>27</v>
      </c>
      <c r="B1" s="5" t="s">
        <v>28</v>
      </c>
    </row>
    <row r="2" spans="1:2">
      <c r="A2" s="8" t="s">
        <v>29</v>
      </c>
      <c r="B2" s="9">
        <v>1</v>
      </c>
    </row>
    <row r="3" spans="1:2">
      <c r="A3" s="8" t="s">
        <v>30</v>
      </c>
      <c r="B3" s="9">
        <v>1</v>
      </c>
    </row>
    <row r="4" spans="1:2">
      <c r="A4" s="8" t="s">
        <v>31</v>
      </c>
      <c r="B4" s="9">
        <v>1</v>
      </c>
    </row>
    <row r="5" spans="1:2">
      <c r="A5" s="8" t="s">
        <v>32</v>
      </c>
      <c r="B5" s="9">
        <v>1</v>
      </c>
    </row>
    <row r="6" spans="1:2">
      <c r="A6" s="8" t="s">
        <v>33</v>
      </c>
      <c r="B6" s="9">
        <v>1</v>
      </c>
    </row>
    <row r="7" spans="1:2">
      <c r="A7" s="8" t="s">
        <v>34</v>
      </c>
      <c r="B7" s="9">
        <v>1</v>
      </c>
    </row>
    <row r="8" spans="1:2">
      <c r="A8" s="8" t="s">
        <v>35</v>
      </c>
      <c r="B8" s="9">
        <v>1</v>
      </c>
    </row>
    <row r="9" spans="1:2">
      <c r="A9" s="8" t="s">
        <v>36</v>
      </c>
      <c r="B9" s="9">
        <v>1</v>
      </c>
    </row>
    <row r="10" spans="1:2">
      <c r="A10" s="8" t="s">
        <v>37</v>
      </c>
      <c r="B10" s="9">
        <v>0.8</v>
      </c>
    </row>
    <row r="11" spans="1:2">
      <c r="A11" s="8"/>
      <c r="B11" s="9"/>
    </row>
    <row r="12" spans="1:2">
      <c r="A12" s="8"/>
      <c r="B12" s="9"/>
    </row>
    <row r="13" spans="1:2">
      <c r="A13" s="8"/>
      <c r="B13" s="9"/>
    </row>
    <row r="14" spans="1:2">
      <c r="A14" s="8"/>
      <c r="B14" s="9"/>
    </row>
    <row r="15" spans="1:2">
      <c r="A15" s="8"/>
      <c r="B15" s="9"/>
    </row>
    <row r="16" spans="1:2">
      <c r="A16" s="8"/>
      <c r="B16" s="9"/>
    </row>
    <row r="17" spans="1:2">
      <c r="A17" s="8"/>
      <c r="B17" s="9"/>
    </row>
    <row r="18" spans="1:2">
      <c r="A18" s="8"/>
      <c r="B18" s="9"/>
    </row>
    <row r="19" spans="1:2">
      <c r="A19" s="8"/>
      <c r="B19" s="9"/>
    </row>
    <row r="20" spans="1:2">
      <c r="A20" s="8"/>
      <c r="B20" s="9"/>
    </row>
    <row r="21" spans="1:2">
      <c r="A21" s="8"/>
      <c r="B21" s="9"/>
    </row>
    <row r="22" spans="1:2">
      <c r="A22" s="8"/>
      <c r="B22" s="9"/>
    </row>
    <row r="23" spans="1:2">
      <c r="A23" s="8"/>
      <c r="B23" s="9"/>
    </row>
    <row r="24" spans="1:2">
      <c r="A24" s="8"/>
      <c r="B24" s="9"/>
    </row>
    <row r="25" spans="1:2">
      <c r="A25" s="8"/>
      <c r="B25" s="9"/>
    </row>
    <row r="26" spans="1:2">
      <c r="A26" s="8"/>
      <c r="B26" s="9"/>
    </row>
    <row r="27" spans="1:2">
      <c r="A27" s="8"/>
      <c r="B27" s="9"/>
    </row>
    <row r="28" spans="1:2">
      <c r="A28" s="8"/>
      <c r="B28" s="9"/>
    </row>
    <row r="29" spans="1:2">
      <c r="A29" s="8"/>
      <c r="B29" s="9"/>
    </row>
    <row r="30" spans="1:2">
      <c r="A30" s="8"/>
      <c r="B30" s="9"/>
    </row>
    <row r="31" spans="1:2">
      <c r="A31" s="8"/>
      <c r="B31" s="9"/>
    </row>
  </sheetData>
  <dataValidations count="1">
    <dataValidation type="decimal" allowBlank="1" showInputMessage="1" showErrorMessage="1" error="Quotité entre 0 % et 100 %" sqref="B2:B31">
      <formula1>0</formula1>
      <formula2>1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61"/>
  <sheetViews>
    <sheetView workbookViewId="0"/>
  </sheetViews>
  <sheetFormatPr defaultRowHeight="15"/>
  <cols>
    <col min="1" max="1" width="26.7109375" customWidth="1"/>
    <col min="2" max="3" width="14.7109375" customWidth="1"/>
    <col min="4" max="4" width="28.7109375" customWidth="1"/>
  </cols>
  <sheetData>
    <row r="1" spans="1:4">
      <c r="A1" s="5" t="s">
        <v>27</v>
      </c>
      <c r="B1" s="5" t="s">
        <v>38</v>
      </c>
      <c r="C1" s="5" t="s">
        <v>39</v>
      </c>
      <c r="D1" s="5" t="s">
        <v>40</v>
      </c>
    </row>
    <row r="2" spans="1:4">
      <c r="A2" s="8" t="s">
        <v>30</v>
      </c>
      <c r="B2" s="7">
        <v>46397</v>
      </c>
      <c r="C2" s="7">
        <v>46403</v>
      </c>
      <c r="D2" s="8" t="s">
        <v>41</v>
      </c>
    </row>
    <row r="3" spans="1:4">
      <c r="A3" s="8"/>
      <c r="B3" s="7"/>
      <c r="C3" s="7"/>
      <c r="D3" s="8"/>
    </row>
    <row r="4" spans="1:4">
      <c r="A4" s="8"/>
      <c r="B4" s="7"/>
      <c r="C4" s="7"/>
      <c r="D4" s="8"/>
    </row>
    <row r="5" spans="1:4">
      <c r="A5" s="8"/>
      <c r="B5" s="7"/>
      <c r="C5" s="7"/>
      <c r="D5" s="8"/>
    </row>
    <row r="6" spans="1:4">
      <c r="A6" s="8"/>
      <c r="B6" s="7"/>
      <c r="C6" s="7"/>
      <c r="D6" s="8"/>
    </row>
    <row r="7" spans="1:4">
      <c r="A7" s="8"/>
      <c r="B7" s="7"/>
      <c r="C7" s="7"/>
      <c r="D7" s="8"/>
    </row>
    <row r="8" spans="1:4">
      <c r="A8" s="8"/>
      <c r="B8" s="7"/>
      <c r="C8" s="7"/>
      <c r="D8" s="8"/>
    </row>
    <row r="9" spans="1:4">
      <c r="A9" s="8"/>
      <c r="B9" s="7"/>
      <c r="C9" s="7"/>
      <c r="D9" s="8"/>
    </row>
    <row r="10" spans="1:4">
      <c r="A10" s="8"/>
      <c r="B10" s="7"/>
      <c r="C10" s="7"/>
      <c r="D10" s="8"/>
    </row>
    <row r="11" spans="1:4">
      <c r="A11" s="8"/>
      <c r="B11" s="7"/>
      <c r="C11" s="7"/>
      <c r="D11" s="8"/>
    </row>
    <row r="12" spans="1:4">
      <c r="A12" s="8"/>
      <c r="B12" s="7"/>
      <c r="C12" s="7"/>
      <c r="D12" s="8"/>
    </row>
    <row r="13" spans="1:4">
      <c r="A13" s="8"/>
      <c r="B13" s="7"/>
      <c r="C13" s="7"/>
      <c r="D13" s="8"/>
    </row>
    <row r="14" spans="1:4">
      <c r="A14" s="8"/>
      <c r="B14" s="7"/>
      <c r="C14" s="7"/>
      <c r="D14" s="8"/>
    </row>
    <row r="15" spans="1:4">
      <c r="A15" s="8"/>
      <c r="B15" s="7"/>
      <c r="C15" s="7"/>
      <c r="D15" s="8"/>
    </row>
    <row r="16" spans="1:4">
      <c r="A16" s="8"/>
      <c r="B16" s="7"/>
      <c r="C16" s="7"/>
      <c r="D16" s="8"/>
    </row>
    <row r="17" spans="1:4">
      <c r="A17" s="8"/>
      <c r="B17" s="7"/>
      <c r="C17" s="7"/>
      <c r="D17" s="8"/>
    </row>
    <row r="18" spans="1:4">
      <c r="A18" s="8"/>
      <c r="B18" s="7"/>
      <c r="C18" s="7"/>
      <c r="D18" s="8"/>
    </row>
    <row r="19" spans="1:4">
      <c r="A19" s="8"/>
      <c r="B19" s="7"/>
      <c r="C19" s="7"/>
      <c r="D19" s="8"/>
    </row>
    <row r="20" spans="1:4">
      <c r="A20" s="8"/>
      <c r="B20" s="7"/>
      <c r="C20" s="7"/>
      <c r="D20" s="8"/>
    </row>
    <row r="21" spans="1:4">
      <c r="A21" s="8"/>
      <c r="B21" s="7"/>
      <c r="C21" s="7"/>
      <c r="D21" s="8"/>
    </row>
    <row r="22" spans="1:4">
      <c r="A22" s="8"/>
      <c r="B22" s="7"/>
      <c r="C22" s="7"/>
      <c r="D22" s="8"/>
    </row>
    <row r="23" spans="1:4">
      <c r="A23" s="8"/>
      <c r="B23" s="7"/>
      <c r="C23" s="7"/>
      <c r="D23" s="8"/>
    </row>
    <row r="24" spans="1:4">
      <c r="A24" s="8"/>
      <c r="B24" s="7"/>
      <c r="C24" s="7"/>
      <c r="D24" s="8"/>
    </row>
    <row r="25" spans="1:4">
      <c r="A25" s="8"/>
      <c r="B25" s="7"/>
      <c r="C25" s="7"/>
      <c r="D25" s="8"/>
    </row>
    <row r="26" spans="1:4">
      <c r="A26" s="8"/>
      <c r="B26" s="7"/>
      <c r="C26" s="7"/>
      <c r="D26" s="8"/>
    </row>
    <row r="27" spans="1:4">
      <c r="A27" s="8"/>
      <c r="B27" s="7"/>
      <c r="C27" s="7"/>
      <c r="D27" s="8"/>
    </row>
    <row r="28" spans="1:4">
      <c r="A28" s="8"/>
      <c r="B28" s="7"/>
      <c r="C28" s="7"/>
      <c r="D28" s="8"/>
    </row>
    <row r="29" spans="1:4">
      <c r="A29" s="8"/>
      <c r="B29" s="7"/>
      <c r="C29" s="7"/>
      <c r="D29" s="8"/>
    </row>
    <row r="30" spans="1:4">
      <c r="A30" s="8"/>
      <c r="B30" s="7"/>
      <c r="C30" s="7"/>
      <c r="D30" s="8"/>
    </row>
    <row r="31" spans="1:4">
      <c r="A31" s="8"/>
      <c r="B31" s="7"/>
      <c r="C31" s="7"/>
      <c r="D31" s="8"/>
    </row>
    <row r="32" spans="1:4">
      <c r="A32" s="8"/>
      <c r="B32" s="7"/>
      <c r="C32" s="7"/>
      <c r="D32" s="8"/>
    </row>
    <row r="33" spans="1:4">
      <c r="A33" s="8"/>
      <c r="B33" s="7"/>
      <c r="C33" s="7"/>
      <c r="D33" s="8"/>
    </row>
    <row r="34" spans="1:4">
      <c r="A34" s="8"/>
      <c r="B34" s="7"/>
      <c r="C34" s="7"/>
      <c r="D34" s="8"/>
    </row>
    <row r="35" spans="1:4">
      <c r="A35" s="8"/>
      <c r="B35" s="7"/>
      <c r="C35" s="7"/>
      <c r="D35" s="8"/>
    </row>
    <row r="36" spans="1:4">
      <c r="A36" s="8"/>
      <c r="B36" s="7"/>
      <c r="C36" s="7"/>
      <c r="D36" s="8"/>
    </row>
    <row r="37" spans="1:4">
      <c r="A37" s="8"/>
      <c r="B37" s="7"/>
      <c r="C37" s="7"/>
      <c r="D37" s="8"/>
    </row>
    <row r="38" spans="1:4">
      <c r="A38" s="8"/>
      <c r="B38" s="7"/>
      <c r="C38" s="7"/>
      <c r="D38" s="8"/>
    </row>
    <row r="39" spans="1:4">
      <c r="A39" s="8"/>
      <c r="B39" s="7"/>
      <c r="C39" s="7"/>
      <c r="D39" s="8"/>
    </row>
    <row r="40" spans="1:4">
      <c r="A40" s="8"/>
      <c r="B40" s="7"/>
      <c r="C40" s="7"/>
      <c r="D40" s="8"/>
    </row>
    <row r="41" spans="1:4">
      <c r="A41" s="8"/>
      <c r="B41" s="7"/>
      <c r="C41" s="7"/>
      <c r="D41" s="8"/>
    </row>
    <row r="42" spans="1:4">
      <c r="A42" s="8"/>
      <c r="B42" s="7"/>
      <c r="C42" s="7"/>
      <c r="D42" s="8"/>
    </row>
    <row r="43" spans="1:4">
      <c r="A43" s="8"/>
      <c r="B43" s="7"/>
      <c r="C43" s="7"/>
      <c r="D43" s="8"/>
    </row>
    <row r="44" spans="1:4">
      <c r="A44" s="8"/>
      <c r="B44" s="7"/>
      <c r="C44" s="7"/>
      <c r="D44" s="8"/>
    </row>
    <row r="45" spans="1:4">
      <c r="A45" s="8"/>
      <c r="B45" s="7"/>
      <c r="C45" s="7"/>
      <c r="D45" s="8"/>
    </row>
    <row r="46" spans="1:4">
      <c r="A46" s="8"/>
      <c r="B46" s="7"/>
      <c r="C46" s="7"/>
      <c r="D46" s="8"/>
    </row>
    <row r="47" spans="1:4">
      <c r="A47" s="8"/>
      <c r="B47" s="7"/>
      <c r="C47" s="7"/>
      <c r="D47" s="8"/>
    </row>
    <row r="48" spans="1:4">
      <c r="A48" s="8"/>
      <c r="B48" s="7"/>
      <c r="C48" s="7"/>
      <c r="D48" s="8"/>
    </row>
    <row r="49" spans="1:4">
      <c r="A49" s="8"/>
      <c r="B49" s="7"/>
      <c r="C49" s="7"/>
      <c r="D49" s="8"/>
    </row>
    <row r="50" spans="1:4">
      <c r="A50" s="8"/>
      <c r="B50" s="7"/>
      <c r="C50" s="7"/>
      <c r="D50" s="8"/>
    </row>
    <row r="51" spans="1:4">
      <c r="A51" s="8"/>
      <c r="B51" s="7"/>
      <c r="C51" s="7"/>
      <c r="D51" s="8"/>
    </row>
    <row r="52" spans="1:4">
      <c r="A52" s="8"/>
      <c r="B52" s="7"/>
      <c r="C52" s="7"/>
      <c r="D52" s="8"/>
    </row>
    <row r="53" spans="1:4">
      <c r="A53" s="8"/>
      <c r="B53" s="7"/>
      <c r="C53" s="7"/>
      <c r="D53" s="8"/>
    </row>
    <row r="54" spans="1:4">
      <c r="A54" s="8"/>
      <c r="B54" s="7"/>
      <c r="C54" s="7"/>
      <c r="D54" s="8"/>
    </row>
    <row r="55" spans="1:4">
      <c r="A55" s="8"/>
      <c r="B55" s="7"/>
      <c r="C55" s="7"/>
      <c r="D55" s="8"/>
    </row>
    <row r="56" spans="1:4">
      <c r="A56" s="8"/>
      <c r="B56" s="7"/>
      <c r="C56" s="7"/>
      <c r="D56" s="8"/>
    </row>
    <row r="57" spans="1:4">
      <c r="A57" s="8"/>
      <c r="B57" s="7"/>
      <c r="C57" s="7"/>
      <c r="D57" s="8"/>
    </row>
    <row r="58" spans="1:4">
      <c r="A58" s="8"/>
      <c r="B58" s="7"/>
      <c r="C58" s="7"/>
      <c r="D58" s="8"/>
    </row>
    <row r="59" spans="1:4">
      <c r="A59" s="8"/>
      <c r="B59" s="7"/>
      <c r="C59" s="7"/>
      <c r="D59" s="8"/>
    </row>
    <row r="60" spans="1:4">
      <c r="A60" s="8"/>
      <c r="B60" s="7"/>
      <c r="C60" s="7"/>
      <c r="D60" s="8"/>
    </row>
    <row r="61" spans="1:4">
      <c r="A61" s="8"/>
      <c r="B61" s="7"/>
      <c r="C61" s="7"/>
      <c r="D61" s="8"/>
    </row>
  </sheetData>
  <dataValidations count="1">
    <dataValidation type="list" allowBlank="1" showInputMessage="1" showErrorMessage="1" sqref="A2:A61">
      <formula1>Medecins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4"/>
  <sheetViews>
    <sheetView workbookViewId="0"/>
  </sheetViews>
  <sheetFormatPr defaultRowHeight="15"/>
  <cols>
    <col min="1" max="1" width="14.7109375" customWidth="1"/>
    <col min="2" max="2" width="22.7109375" customWidth="1"/>
  </cols>
  <sheetData>
    <row r="1" spans="1:2">
      <c r="A1" s="5" t="s">
        <v>42</v>
      </c>
      <c r="B1" s="5" t="s">
        <v>43</v>
      </c>
    </row>
    <row r="2" spans="1:2">
      <c r="A2" s="7">
        <v>46023</v>
      </c>
      <c r="B2" s="6" t="s">
        <v>44</v>
      </c>
    </row>
    <row r="3" spans="1:2">
      <c r="A3" s="7">
        <v>46118</v>
      </c>
      <c r="B3" s="6" t="s">
        <v>45</v>
      </c>
    </row>
    <row r="4" spans="1:2">
      <c r="A4" s="7">
        <v>46143</v>
      </c>
      <c r="B4" s="6" t="s">
        <v>46</v>
      </c>
    </row>
    <row r="5" spans="1:2">
      <c r="A5" s="7">
        <v>46150</v>
      </c>
      <c r="B5" s="6" t="s">
        <v>47</v>
      </c>
    </row>
    <row r="6" spans="1:2">
      <c r="A6" s="7">
        <v>46156</v>
      </c>
      <c r="B6" s="6" t="s">
        <v>48</v>
      </c>
    </row>
    <row r="7" spans="1:2">
      <c r="A7" s="7">
        <v>46167</v>
      </c>
      <c r="B7" s="6" t="s">
        <v>49</v>
      </c>
    </row>
    <row r="8" spans="1:2">
      <c r="A8" s="7">
        <v>46217</v>
      </c>
      <c r="B8" s="6" t="s">
        <v>50</v>
      </c>
    </row>
    <row r="9" spans="1:2">
      <c r="A9" s="7">
        <v>46249</v>
      </c>
      <c r="B9" s="6" t="s">
        <v>51</v>
      </c>
    </row>
    <row r="10" spans="1:2">
      <c r="A10" s="7">
        <v>46327</v>
      </c>
      <c r="B10" s="6" t="s">
        <v>52</v>
      </c>
    </row>
    <row r="11" spans="1:2">
      <c r="A11" s="7">
        <v>46337</v>
      </c>
      <c r="B11" s="6" t="s">
        <v>53</v>
      </c>
    </row>
    <row r="12" spans="1:2">
      <c r="A12" s="7">
        <v>46381</v>
      </c>
      <c r="B12" s="6" t="s">
        <v>54</v>
      </c>
    </row>
    <row r="13" spans="1:2">
      <c r="A13" s="7">
        <v>46388</v>
      </c>
      <c r="B13" s="6" t="s">
        <v>44</v>
      </c>
    </row>
    <row r="14" spans="1:2">
      <c r="A14" s="7">
        <v>46475</v>
      </c>
      <c r="B14" s="6" t="s">
        <v>45</v>
      </c>
    </row>
    <row r="15" spans="1:2">
      <c r="A15" s="7">
        <v>46508</v>
      </c>
      <c r="B15" s="6" t="s">
        <v>46</v>
      </c>
    </row>
    <row r="16" spans="1:2">
      <c r="A16" s="7">
        <v>46515</v>
      </c>
      <c r="B16" s="6" t="s">
        <v>47</v>
      </c>
    </row>
    <row r="17" spans="1:2">
      <c r="A17" s="7">
        <v>46513</v>
      </c>
      <c r="B17" s="6" t="s">
        <v>48</v>
      </c>
    </row>
    <row r="18" spans="1:2">
      <c r="A18" s="7">
        <v>46524</v>
      </c>
      <c r="B18" s="6" t="s">
        <v>49</v>
      </c>
    </row>
    <row r="19" spans="1:2">
      <c r="A19" s="7">
        <v>46582</v>
      </c>
      <c r="B19" s="6" t="s">
        <v>50</v>
      </c>
    </row>
    <row r="20" spans="1:2">
      <c r="A20" s="7">
        <v>46614</v>
      </c>
      <c r="B20" s="6" t="s">
        <v>51</v>
      </c>
    </row>
    <row r="21" spans="1:2">
      <c r="A21" s="7">
        <v>46692</v>
      </c>
      <c r="B21" s="6" t="s">
        <v>52</v>
      </c>
    </row>
    <row r="22" spans="1:2">
      <c r="A22" s="7">
        <v>46702</v>
      </c>
      <c r="B22" s="6" t="s">
        <v>53</v>
      </c>
    </row>
    <row r="23" spans="1:2">
      <c r="A23" s="7">
        <v>46746</v>
      </c>
      <c r="B23" s="6" t="s">
        <v>54</v>
      </c>
    </row>
    <row r="24" spans="1:2">
      <c r="A24" s="7">
        <v>46753</v>
      </c>
      <c r="B24" s="6" t="s">
        <v>44</v>
      </c>
    </row>
    <row r="25" spans="1:2">
      <c r="A25" s="7">
        <v>46860</v>
      </c>
      <c r="B25" s="6" t="s">
        <v>45</v>
      </c>
    </row>
    <row r="26" spans="1:2">
      <c r="A26" s="7">
        <v>46874</v>
      </c>
      <c r="B26" s="6" t="s">
        <v>46</v>
      </c>
    </row>
    <row r="27" spans="1:2">
      <c r="A27" s="7">
        <v>46881</v>
      </c>
      <c r="B27" s="6" t="s">
        <v>47</v>
      </c>
    </row>
    <row r="28" spans="1:2">
      <c r="A28" s="7">
        <v>46898</v>
      </c>
      <c r="B28" s="6" t="s">
        <v>48</v>
      </c>
    </row>
    <row r="29" spans="1:2">
      <c r="A29" s="7">
        <v>46909</v>
      </c>
      <c r="B29" s="6" t="s">
        <v>49</v>
      </c>
    </row>
    <row r="30" spans="1:2">
      <c r="A30" s="7">
        <v>46948</v>
      </c>
      <c r="B30" s="6" t="s">
        <v>50</v>
      </c>
    </row>
    <row r="31" spans="1:2">
      <c r="A31" s="7">
        <v>46980</v>
      </c>
      <c r="B31" s="6" t="s">
        <v>51</v>
      </c>
    </row>
    <row r="32" spans="1:2">
      <c r="A32" s="7">
        <v>47058</v>
      </c>
      <c r="B32" s="6" t="s">
        <v>52</v>
      </c>
    </row>
    <row r="33" spans="1:2">
      <c r="A33" s="7">
        <v>47068</v>
      </c>
      <c r="B33" s="6" t="s">
        <v>53</v>
      </c>
    </row>
    <row r="34" spans="1:2">
      <c r="A34" s="7">
        <v>47112</v>
      </c>
      <c r="B34" s="6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3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8.7109375" customWidth="1"/>
    <col min="2" max="2" width="11.7109375" customWidth="1"/>
    <col min="3" max="4" width="22.7109375" customWidth="1"/>
    <col min="5" max="5" width="52.7109375" customWidth="1"/>
  </cols>
  <sheetData>
    <row r="1" spans="1:5">
      <c r="A1" s="5" t="s">
        <v>42</v>
      </c>
      <c r="B1" s="5" t="s">
        <v>55</v>
      </c>
      <c r="C1" s="5" t="str">
        <f>'Paramètres'!B3</f>
        <v>Garde sur place</v>
      </c>
      <c r="D1" s="5" t="str">
        <f>'Paramètres'!B4</f>
        <v>Astreinte</v>
      </c>
      <c r="E1" s="5" t="s">
        <v>56</v>
      </c>
    </row>
    <row r="2" spans="1:5">
      <c r="A2" s="10">
        <f>Debut+0</f>
        <v>2027-01-01 00:00:00</v>
      </c>
      <c r="B2" s="6">
        <f>IF(COUNTIF(Feries,A2)&gt;0,"Férié",IF(WEEKDAY(A2,2)=6,"Samedi",IF(WEEKDAY(A2,2)=7,"Dimanche","Semaine")))</f>
        <v>0</v>
      </c>
      <c r="C2" s="8" t="s">
        <v>29</v>
      </c>
      <c r="D2" s="8" t="s">
        <v>30</v>
      </c>
      <c r="E2" s="11">
        <f>IF(AND(C2&lt;&gt;"",C2=""),"Ligne 1 : même médecin deux jours de suite. ","")&amp;IF(AND(D2&lt;&gt;"",D2=""),"Ligne 2 : même médecin deux jours de suite. ","")&amp;IF(AND(C2&lt;&gt;"",C2=D2),"Même médecin sur les deux lignes. ","")&amp;IF(AND(C2&lt;&gt;"",COUNTIFS(AbsMed,C2,AbsDu,"&lt;="&amp;A2,AbsAu,"&gt;="&amp;A2)&gt;0),C2&amp;" absent. ","")&amp;IF(AND(D2&lt;&gt;"",COUNTIFS(AbsMed,D2,AbsDu,"&lt;="&amp;A2,AbsAu,"&gt;="&amp;A2)&gt;0),D2&amp;" absent. ","")</f>
        <v>0</v>
      </c>
    </row>
    <row r="3" spans="1:5">
      <c r="A3" s="10">
        <f>Debut+1</f>
        <v>2027-01-02 00:00:00</v>
      </c>
      <c r="B3" s="6">
        <f>IF(COUNTIF(Feries,A3)&gt;0,"Férié",IF(WEEKDAY(A3,2)=6,"Samedi",IF(WEEKDAY(A3,2)=7,"Dimanche","Semaine")))</f>
        <v>0</v>
      </c>
      <c r="C3" s="8" t="s">
        <v>31</v>
      </c>
      <c r="D3" s="8" t="s">
        <v>34</v>
      </c>
      <c r="E3" s="11">
        <f>IF(AND(C3&lt;&gt;"",C3=C2),"Ligne 1 : même médecin deux jours de suite. ","")&amp;IF(AND(D3&lt;&gt;"",D3=D2),"Ligne 2 : même médecin deux jours de suite. ","")&amp;IF(AND(C3&lt;&gt;"",C3=D3),"Même médecin sur les deux lignes. ","")&amp;IF(AND(C3&lt;&gt;"",COUNTIFS(AbsMed,C3,AbsDu,"&lt;="&amp;A3,AbsAu,"&gt;="&amp;A3)&gt;0),C3&amp;" absent. ","")&amp;IF(AND(D3&lt;&gt;"",COUNTIFS(AbsMed,D3,AbsDu,"&lt;="&amp;A3,AbsAu,"&gt;="&amp;A3)&gt;0),D3&amp;" absent. ","")</f>
        <v>0</v>
      </c>
    </row>
    <row r="4" spans="1:5">
      <c r="A4" s="10">
        <f>Debut+2</f>
        <v>2027-01-03 00:00:00</v>
      </c>
      <c r="B4" s="6">
        <f>IF(COUNTIF(Feries,A4)&gt;0,"Férié",IF(WEEKDAY(A4,2)=6,"Samedi",IF(WEEKDAY(A4,2)=7,"Dimanche","Semaine")))</f>
        <v>0</v>
      </c>
      <c r="C4" s="8" t="s">
        <v>33</v>
      </c>
      <c r="D4" s="8" t="s">
        <v>30</v>
      </c>
      <c r="E4" s="11">
        <f>IF(AND(C4&lt;&gt;"",C4=C3),"Ligne 1 : même médecin deux jours de suite. ","")&amp;IF(AND(D4&lt;&gt;"",D4=D3),"Ligne 2 : même médecin deux jours de suite. ","")&amp;IF(AND(C4&lt;&gt;"",C4=D4),"Même médecin sur les deux lignes. ","")&amp;IF(AND(C4&lt;&gt;"",COUNTIFS(AbsMed,C4,AbsDu,"&lt;="&amp;A4,AbsAu,"&gt;="&amp;A4)&gt;0),C4&amp;" absent. ","")&amp;IF(AND(D4&lt;&gt;"",COUNTIFS(AbsMed,D4,AbsDu,"&lt;="&amp;A4,AbsAu,"&gt;="&amp;A4)&gt;0),D4&amp;" absent. ","")</f>
        <v>0</v>
      </c>
    </row>
    <row r="5" spans="1:5">
      <c r="A5" s="10">
        <f>Debut+3</f>
        <v>2027-01-04 00:00:00</v>
      </c>
      <c r="B5" s="6">
        <f>IF(COUNTIF(Feries,A5)&gt;0,"Férié",IF(WEEKDAY(A5,2)=6,"Samedi",IF(WEEKDAY(A5,2)=7,"Dimanche","Semaine")))</f>
        <v>0</v>
      </c>
      <c r="C5" s="8" t="s">
        <v>35</v>
      </c>
      <c r="D5" s="8" t="s">
        <v>36</v>
      </c>
      <c r="E5" s="11">
        <f>IF(AND(C5&lt;&gt;"",C5=C4),"Ligne 1 : même médecin deux jours de suite. ","")&amp;IF(AND(D5&lt;&gt;"",D5=D4),"Ligne 2 : même médecin deux jours de suite. ","")&amp;IF(AND(C5&lt;&gt;"",C5=D5),"Même médecin sur les deux lignes. ","")&amp;IF(AND(C5&lt;&gt;"",COUNTIFS(AbsMed,C5,AbsDu,"&lt;="&amp;A5,AbsAu,"&gt;="&amp;A5)&gt;0),C5&amp;" absent. ","")&amp;IF(AND(D5&lt;&gt;"",COUNTIFS(AbsMed,D5,AbsDu,"&lt;="&amp;A5,AbsAu,"&gt;="&amp;A5)&gt;0),D5&amp;" absent. ","")</f>
        <v>0</v>
      </c>
    </row>
    <row r="6" spans="1:5">
      <c r="A6" s="10">
        <f>Debut+4</f>
        <v>2027-01-05 00:00:00</v>
      </c>
      <c r="B6" s="6">
        <f>IF(COUNTIF(Feries,A6)&gt;0,"Férié",IF(WEEKDAY(A6,2)=6,"Samedi",IF(WEEKDAY(A6,2)=7,"Dimanche","Semaine")))</f>
        <v>0</v>
      </c>
      <c r="C6" s="8" t="s">
        <v>37</v>
      </c>
      <c r="D6" s="8" t="s">
        <v>31</v>
      </c>
      <c r="E6" s="11">
        <f>IF(AND(C6&lt;&gt;"",C6=C5),"Ligne 1 : même médecin deux jours de suite. ","")&amp;IF(AND(D6&lt;&gt;"",D6=D5),"Ligne 2 : même médecin deux jours de suite. ","")&amp;IF(AND(C6&lt;&gt;"",C6=D6),"Même médecin sur les deux lignes. ","")&amp;IF(AND(C6&lt;&gt;"",COUNTIFS(AbsMed,C6,AbsDu,"&lt;="&amp;A6,AbsAu,"&gt;="&amp;A6)&gt;0),C6&amp;" absent. ","")&amp;IF(AND(D6&lt;&gt;"",COUNTIFS(AbsMed,D6,AbsDu,"&lt;="&amp;A6,AbsAu,"&gt;="&amp;A6)&gt;0),D6&amp;" absent. ","")</f>
        <v>0</v>
      </c>
    </row>
    <row r="7" spans="1:5">
      <c r="A7" s="10">
        <f>Debut+5</f>
        <v>2027-01-06 00:00:00</v>
      </c>
      <c r="B7" s="6">
        <f>IF(COUNTIF(Feries,A7)&gt;0,"Férié",IF(WEEKDAY(A7,2)=6,"Samedi",IF(WEEKDAY(A7,2)=7,"Dimanche","Semaine")))</f>
        <v>0</v>
      </c>
      <c r="C7" s="8" t="s">
        <v>32</v>
      </c>
      <c r="D7" s="8" t="s">
        <v>36</v>
      </c>
      <c r="E7" s="11">
        <f>IF(AND(C7&lt;&gt;"",C7=C6),"Ligne 1 : même médecin deux jours de suite. ","")&amp;IF(AND(D7&lt;&gt;"",D7=D6),"Ligne 2 : même médecin deux jours de suite. ","")&amp;IF(AND(C7&lt;&gt;"",C7=D7),"Même médecin sur les deux lignes. ","")&amp;IF(AND(C7&lt;&gt;"",COUNTIFS(AbsMed,C7,AbsDu,"&lt;="&amp;A7,AbsAu,"&gt;="&amp;A7)&gt;0),C7&amp;" absent. ","")&amp;IF(AND(D7&lt;&gt;"",COUNTIFS(AbsMed,D7,AbsDu,"&lt;="&amp;A7,AbsAu,"&gt;="&amp;A7)&gt;0),D7&amp;" absent. ","")</f>
        <v>0</v>
      </c>
    </row>
    <row r="8" spans="1:5">
      <c r="A8" s="10">
        <f>Debut+6</f>
        <v>2027-01-07 00:00:00</v>
      </c>
      <c r="B8" s="6">
        <f>IF(COUNTIF(Feries,A8)&gt;0,"Férié",IF(WEEKDAY(A8,2)=6,"Samedi",IF(WEEKDAY(A8,2)=7,"Dimanche","Semaine")))</f>
        <v>0</v>
      </c>
      <c r="C8" s="8" t="s">
        <v>34</v>
      </c>
      <c r="D8" s="8" t="s">
        <v>32</v>
      </c>
      <c r="E8" s="11">
        <f>IF(AND(C8&lt;&gt;"",C8=C7),"Ligne 1 : même médecin deux jours de suite. ","")&amp;IF(AND(D8&lt;&gt;"",D8=D7),"Ligne 2 : même médecin deux jours de suite. ","")&amp;IF(AND(C8&lt;&gt;"",C8=D8),"Même médecin sur les deux lignes. ","")&amp;IF(AND(C8&lt;&gt;"",COUNTIFS(AbsMed,C8,AbsDu,"&lt;="&amp;A8,AbsAu,"&gt;="&amp;A8)&gt;0),C8&amp;" absent. ","")&amp;IF(AND(D8&lt;&gt;"",COUNTIFS(AbsMed,D8,AbsDu,"&lt;="&amp;A8,AbsAu,"&gt;="&amp;A8)&gt;0),D8&amp;" absent. ","")</f>
        <v>0</v>
      </c>
    </row>
    <row r="9" spans="1:5">
      <c r="A9" s="10">
        <f>Debut+7</f>
        <v>2027-01-08 00:00:00</v>
      </c>
      <c r="B9" s="6">
        <f>IF(COUNTIF(Feries,A9)&gt;0,"Férié",IF(WEEKDAY(A9,2)=6,"Samedi",IF(WEEKDAY(A9,2)=7,"Dimanche","Semaine")))</f>
        <v>0</v>
      </c>
      <c r="C9" s="8" t="s">
        <v>36</v>
      </c>
      <c r="D9" s="8" t="s">
        <v>37</v>
      </c>
      <c r="E9" s="11">
        <f>IF(AND(C9&lt;&gt;"",C9=C8),"Ligne 1 : même médecin deux jours de suite. ","")&amp;IF(AND(D9&lt;&gt;"",D9=D8),"Ligne 2 : même médecin deux jours de suite. ","")&amp;IF(AND(C9&lt;&gt;"",C9=D9),"Même médecin sur les deux lignes. ","")&amp;IF(AND(C9&lt;&gt;"",COUNTIFS(AbsMed,C9,AbsDu,"&lt;="&amp;A9,AbsAu,"&gt;="&amp;A9)&gt;0),C9&amp;" absent. ","")&amp;IF(AND(D9&lt;&gt;"",COUNTIFS(AbsMed,D9,AbsDu,"&lt;="&amp;A9,AbsAu,"&gt;="&amp;A9)&gt;0),D9&amp;" absent. ","")</f>
        <v>0</v>
      </c>
    </row>
    <row r="10" spans="1:5">
      <c r="A10" s="10">
        <f>Debut+8</f>
        <v>2027-01-09 00:00:00</v>
      </c>
      <c r="B10" s="6">
        <f>IF(COUNTIF(Feries,A10)&gt;0,"Férié",IF(WEEKDAY(A10,2)=6,"Samedi",IF(WEEKDAY(A10,2)=7,"Dimanche","Semaine")))</f>
        <v>0</v>
      </c>
      <c r="C10" s="8" t="s">
        <v>29</v>
      </c>
      <c r="D10" s="8" t="s">
        <v>33</v>
      </c>
      <c r="E10" s="11">
        <f>IF(AND(C10&lt;&gt;"",C10=C9),"Ligne 1 : même médecin deux jours de suite. ","")&amp;IF(AND(D10&lt;&gt;"",D10=D9),"Ligne 2 : même médecin deux jours de suite. ","")&amp;IF(AND(C10&lt;&gt;"",C10=D10),"Même médecin sur les deux lignes. ","")&amp;IF(AND(C10&lt;&gt;"",COUNTIFS(AbsMed,C10,AbsDu,"&lt;="&amp;A10,AbsAu,"&gt;="&amp;A10)&gt;0),C10&amp;" absent. ","")&amp;IF(AND(D10&lt;&gt;"",COUNTIFS(AbsMed,D10,AbsDu,"&lt;="&amp;A10,AbsAu,"&gt;="&amp;A10)&gt;0),D10&amp;" absent. ","")</f>
        <v>0</v>
      </c>
    </row>
    <row r="11" spans="1:5">
      <c r="A11" s="10">
        <f>Debut+9</f>
        <v>2027-01-10 00:00:00</v>
      </c>
      <c r="B11" s="6">
        <f>IF(COUNTIF(Feries,A11)&gt;0,"Férié",IF(WEEKDAY(A11,2)=6,"Samedi",IF(WEEKDAY(A11,2)=7,"Dimanche","Semaine")))</f>
        <v>0</v>
      </c>
      <c r="C11" s="8" t="s">
        <v>31</v>
      </c>
      <c r="D11" s="8" t="s">
        <v>29</v>
      </c>
      <c r="E11" s="11">
        <f>IF(AND(C11&lt;&gt;"",C11=C10),"Ligne 1 : même médecin deux jours de suite. ","")&amp;IF(AND(D11&lt;&gt;"",D11=D10),"Ligne 2 : même médecin deux jours de suite. ","")&amp;IF(AND(C11&lt;&gt;"",C11=D11),"Même médecin sur les deux lignes. ","")&amp;IF(AND(C11&lt;&gt;"",COUNTIFS(AbsMed,C11,AbsDu,"&lt;="&amp;A11,AbsAu,"&gt;="&amp;A11)&gt;0),C11&amp;" absent. ","")&amp;IF(AND(D11&lt;&gt;"",COUNTIFS(AbsMed,D11,AbsDu,"&lt;="&amp;A11,AbsAu,"&gt;="&amp;A11)&gt;0),D11&amp;" absent. ","")</f>
        <v>0</v>
      </c>
    </row>
    <row r="12" spans="1:5">
      <c r="A12" s="10">
        <f>Debut+10</f>
        <v>2027-01-11 00:00:00</v>
      </c>
      <c r="B12" s="6">
        <f>IF(COUNTIF(Feries,A12)&gt;0,"Férié",IF(WEEKDAY(A12,2)=6,"Samedi",IF(WEEKDAY(A12,2)=7,"Dimanche","Semaine")))</f>
        <v>0</v>
      </c>
      <c r="C12" s="8" t="s">
        <v>33</v>
      </c>
      <c r="D12" s="8" t="s">
        <v>34</v>
      </c>
      <c r="E12" s="11">
        <f>IF(AND(C12&lt;&gt;"",C12=C11),"Ligne 1 : même médecin deux jours de suite. ","")&amp;IF(AND(D12&lt;&gt;"",D12=D11),"Ligne 2 : même médecin deux jours de suite. ","")&amp;IF(AND(C12&lt;&gt;"",C12=D12),"Même médecin sur les deux lignes. ","")&amp;IF(AND(C12&lt;&gt;"",COUNTIFS(AbsMed,C12,AbsDu,"&lt;="&amp;A12,AbsAu,"&gt;="&amp;A12)&gt;0),C12&amp;" absent. ","")&amp;IF(AND(D12&lt;&gt;"",COUNTIFS(AbsMed,D12,AbsDu,"&lt;="&amp;A12,AbsAu,"&gt;="&amp;A12)&gt;0),D12&amp;" absent. ","")</f>
        <v>0</v>
      </c>
    </row>
    <row r="13" spans="1:5">
      <c r="A13" s="10">
        <f>Debut+11</f>
        <v>2027-01-12 00:00:00</v>
      </c>
      <c r="B13" s="6">
        <f>IF(COUNTIF(Feries,A13)&gt;0,"Férié",IF(WEEKDAY(A13,2)=6,"Samedi",IF(WEEKDAY(A13,2)=7,"Dimanche","Semaine")))</f>
        <v>0</v>
      </c>
      <c r="C13" s="8" t="s">
        <v>35</v>
      </c>
      <c r="D13" s="8" t="s">
        <v>30</v>
      </c>
      <c r="E13" s="11">
        <f>IF(AND(C13&lt;&gt;"",C13=C12),"Ligne 1 : même médecin deux jours de suite. ","")&amp;IF(AND(D13&lt;&gt;"",D13=D12),"Ligne 2 : même médecin deux jours de suite. ","")&amp;IF(AND(C13&lt;&gt;"",C13=D13),"Même médecin sur les deux lignes. ","")&amp;IF(AND(C13&lt;&gt;"",COUNTIFS(AbsMed,C13,AbsDu,"&lt;="&amp;A13,AbsAu,"&gt;="&amp;A13)&gt;0),C13&amp;" absent. ","")&amp;IF(AND(D13&lt;&gt;"",COUNTIFS(AbsMed,D13,AbsDu,"&lt;="&amp;A13,AbsAu,"&gt;="&amp;A13)&gt;0),D13&amp;" absent. ","")</f>
        <v>0</v>
      </c>
    </row>
    <row r="14" spans="1:5">
      <c r="A14" s="10">
        <f>Debut+12</f>
        <v>2027-01-13 00:00:00</v>
      </c>
      <c r="B14" s="6">
        <f>IF(COUNTIF(Feries,A14)&gt;0,"Férié",IF(WEEKDAY(A14,2)=6,"Samedi",IF(WEEKDAY(A14,2)=7,"Dimanche","Semaine")))</f>
        <v>0</v>
      </c>
      <c r="C14" s="8" t="s">
        <v>37</v>
      </c>
      <c r="D14" s="8" t="s">
        <v>35</v>
      </c>
      <c r="E14" s="11">
        <f>IF(AND(C14&lt;&gt;"",C14=C13),"Ligne 1 : même médecin deux jours de suite. ","")&amp;IF(AND(D14&lt;&gt;"",D14=D13),"Ligne 2 : même médecin deux jours de suite. ","")&amp;IF(AND(C14&lt;&gt;"",C14=D14),"Même médecin sur les deux lignes. ","")&amp;IF(AND(C14&lt;&gt;"",COUNTIFS(AbsMed,C14,AbsDu,"&lt;="&amp;A14,AbsAu,"&gt;="&amp;A14)&gt;0),C14&amp;" absent. ","")&amp;IF(AND(D14&lt;&gt;"",COUNTIFS(AbsMed,D14,AbsDu,"&lt;="&amp;A14,AbsAu,"&gt;="&amp;A14)&gt;0),D14&amp;" absent. ","")</f>
        <v>0</v>
      </c>
    </row>
    <row r="15" spans="1:5">
      <c r="A15" s="10">
        <f>Debut+13</f>
        <v>2027-01-14 00:00:00</v>
      </c>
      <c r="B15" s="6">
        <f>IF(COUNTIF(Feries,A15)&gt;0,"Férié",IF(WEEKDAY(A15,2)=6,"Samedi",IF(WEEKDAY(A15,2)=7,"Dimanche","Semaine")))</f>
        <v>0</v>
      </c>
      <c r="C15" s="8" t="s">
        <v>32</v>
      </c>
      <c r="D15" s="8" t="s">
        <v>31</v>
      </c>
      <c r="E15" s="11">
        <f>IF(AND(C15&lt;&gt;"",C15=C14),"Ligne 1 : même médecin deux jours de suite. ","")&amp;IF(AND(D15&lt;&gt;"",D15=D14),"Ligne 2 : même médecin deux jours de suite. ","")&amp;IF(AND(C15&lt;&gt;"",C15=D15),"Même médecin sur les deux lignes. ","")&amp;IF(AND(C15&lt;&gt;"",COUNTIFS(AbsMed,C15,AbsDu,"&lt;="&amp;A15,AbsAu,"&gt;="&amp;A15)&gt;0),C15&amp;" absent. ","")&amp;IF(AND(D15&lt;&gt;"",COUNTIFS(AbsMed,D15,AbsDu,"&lt;="&amp;A15,AbsAu,"&gt;="&amp;A15)&gt;0),D15&amp;" absent. ","")</f>
        <v>0</v>
      </c>
    </row>
    <row r="16" spans="1:5">
      <c r="A16" s="10">
        <f>Debut+14</f>
        <v>2027-01-15 00:00:00</v>
      </c>
      <c r="B16" s="6">
        <f>IF(COUNTIF(Feries,A16)&gt;0,"Férié",IF(WEEKDAY(A16,2)=6,"Samedi",IF(WEEKDAY(A16,2)=7,"Dimanche","Semaine")))</f>
        <v>0</v>
      </c>
      <c r="C16" s="8" t="s">
        <v>29</v>
      </c>
      <c r="D16" s="8" t="s">
        <v>36</v>
      </c>
      <c r="E16" s="11">
        <f>IF(AND(C16&lt;&gt;"",C16=C15),"Ligne 1 : même médecin deux jours de suite. ","")&amp;IF(AND(D16&lt;&gt;"",D16=D15),"Ligne 2 : même médecin deux jours de suite. ","")&amp;IF(AND(C16&lt;&gt;"",C16=D16),"Même médecin sur les deux lignes. ","")&amp;IF(AND(C16&lt;&gt;"",COUNTIFS(AbsMed,C16,AbsDu,"&lt;="&amp;A16,AbsAu,"&gt;="&amp;A16)&gt;0),C16&amp;" absent. ","")&amp;IF(AND(D16&lt;&gt;"",COUNTIFS(AbsMed,D16,AbsDu,"&lt;="&amp;A16,AbsAu,"&gt;="&amp;A16)&gt;0),D16&amp;" absent. ","")</f>
        <v>0</v>
      </c>
    </row>
    <row r="17" spans="1:5">
      <c r="A17" s="10">
        <f>Debut+15</f>
        <v>2027-01-16 00:00:00</v>
      </c>
      <c r="B17" s="6">
        <f>IF(COUNTIF(Feries,A17)&gt;0,"Férié",IF(WEEKDAY(A17,2)=6,"Samedi",IF(WEEKDAY(A17,2)=7,"Dimanche","Semaine")))</f>
        <v>0</v>
      </c>
      <c r="C17" s="8" t="s">
        <v>31</v>
      </c>
      <c r="D17" s="8" t="s">
        <v>32</v>
      </c>
      <c r="E17" s="11">
        <f>IF(AND(C17&lt;&gt;"",C17=C16),"Ligne 1 : même médecin deux jours de suite. ","")&amp;IF(AND(D17&lt;&gt;"",D17=D16),"Ligne 2 : même médecin deux jours de suite. ","")&amp;IF(AND(C17&lt;&gt;"",C17=D17),"Même médecin sur les deux lignes. ","")&amp;IF(AND(C17&lt;&gt;"",COUNTIFS(AbsMed,C17,AbsDu,"&lt;="&amp;A17,AbsAu,"&gt;="&amp;A17)&gt;0),C17&amp;" absent. ","")&amp;IF(AND(D17&lt;&gt;"",COUNTIFS(AbsMed,D17,AbsDu,"&lt;="&amp;A17,AbsAu,"&gt;="&amp;A17)&gt;0),D17&amp;" absent. ","")</f>
        <v>0</v>
      </c>
    </row>
    <row r="18" spans="1:5">
      <c r="A18" s="10">
        <f>Debut+16</f>
        <v>2027-01-17 00:00:00</v>
      </c>
      <c r="B18" s="6">
        <f>IF(COUNTIF(Feries,A18)&gt;0,"Férié",IF(WEEKDAY(A18,2)=6,"Samedi",IF(WEEKDAY(A18,2)=7,"Dimanche","Semaine")))</f>
        <v>0</v>
      </c>
      <c r="C18" s="8" t="s">
        <v>33</v>
      </c>
      <c r="D18" s="8" t="s">
        <v>37</v>
      </c>
      <c r="E18" s="11">
        <f>IF(AND(C18&lt;&gt;"",C18=C17),"Ligne 1 : même médecin deux jours de suite. ","")&amp;IF(AND(D18&lt;&gt;"",D18=D17),"Ligne 2 : même médecin deux jours de suite. ","")&amp;IF(AND(C18&lt;&gt;"",C18=D18),"Même médecin sur les deux lignes. ","")&amp;IF(AND(C18&lt;&gt;"",COUNTIFS(AbsMed,C18,AbsDu,"&lt;="&amp;A18,AbsAu,"&gt;="&amp;A18)&gt;0),C18&amp;" absent. ","")&amp;IF(AND(D18&lt;&gt;"",COUNTIFS(AbsMed,D18,AbsDu,"&lt;="&amp;A18,AbsAu,"&gt;="&amp;A18)&gt;0),D18&amp;" absent. ","")</f>
        <v>0</v>
      </c>
    </row>
    <row r="19" spans="1:5">
      <c r="A19" s="10">
        <f>Debut+17</f>
        <v>2027-01-18 00:00:00</v>
      </c>
      <c r="B19" s="6">
        <f>IF(COUNTIF(Feries,A19)&gt;0,"Férié",IF(WEEKDAY(A19,2)=6,"Samedi",IF(WEEKDAY(A19,2)=7,"Dimanche","Semaine")))</f>
        <v>0</v>
      </c>
      <c r="C19" s="8" t="s">
        <v>35</v>
      </c>
      <c r="D19" s="8" t="s">
        <v>33</v>
      </c>
      <c r="E19" s="11">
        <f>IF(AND(C19&lt;&gt;"",C19=C18),"Ligne 1 : même médecin deux jours de suite. ","")&amp;IF(AND(D19&lt;&gt;"",D19=D18),"Ligne 2 : même médecin deux jours de suite. ","")&amp;IF(AND(C19&lt;&gt;"",C19=D19),"Même médecin sur les deux lignes. ","")&amp;IF(AND(C19&lt;&gt;"",COUNTIFS(AbsMed,C19,AbsDu,"&lt;="&amp;A19,AbsAu,"&gt;="&amp;A19)&gt;0),C19&amp;" absent. ","")&amp;IF(AND(D19&lt;&gt;"",COUNTIFS(AbsMed,D19,AbsDu,"&lt;="&amp;A19,AbsAu,"&gt;="&amp;A19)&gt;0),D19&amp;" absent. ","")</f>
        <v>0</v>
      </c>
    </row>
    <row r="20" spans="1:5">
      <c r="A20" s="10">
        <f>Debut+18</f>
        <v>2027-01-19 00:00:00</v>
      </c>
      <c r="B20" s="6">
        <f>IF(COUNTIF(Feries,A20)&gt;0,"Férié",IF(WEEKDAY(A20,2)=6,"Samedi",IF(WEEKDAY(A20,2)=7,"Dimanche","Semaine")))</f>
        <v>0</v>
      </c>
      <c r="C20" s="8" t="s">
        <v>37</v>
      </c>
      <c r="D20" s="8" t="s">
        <v>29</v>
      </c>
      <c r="E20" s="11">
        <f>IF(AND(C20&lt;&gt;"",C20=C19),"Ligne 1 : même médecin deux jours de suite. ","")&amp;IF(AND(D20&lt;&gt;"",D20=D19),"Ligne 2 : même médecin deux jours de suite. ","")&amp;IF(AND(C20&lt;&gt;"",C20=D20),"Même médecin sur les deux lignes. ","")&amp;IF(AND(C20&lt;&gt;"",COUNTIFS(AbsMed,C20,AbsDu,"&lt;="&amp;A20,AbsAu,"&gt;="&amp;A20)&gt;0),C20&amp;" absent. ","")&amp;IF(AND(D20&lt;&gt;"",COUNTIFS(AbsMed,D20,AbsDu,"&lt;="&amp;A20,AbsAu,"&gt;="&amp;A20)&gt;0),D20&amp;" absent. ","")</f>
        <v>0</v>
      </c>
    </row>
    <row r="21" spans="1:5">
      <c r="A21" s="10">
        <f>Debut+19</f>
        <v>2027-01-20 00:00:00</v>
      </c>
      <c r="B21" s="6">
        <f>IF(COUNTIF(Feries,A21)&gt;0,"Férié",IF(WEEKDAY(A21,2)=6,"Samedi",IF(WEEKDAY(A21,2)=7,"Dimanche","Semaine")))</f>
        <v>0</v>
      </c>
      <c r="C21" s="8" t="s">
        <v>32</v>
      </c>
      <c r="D21" s="8" t="s">
        <v>34</v>
      </c>
      <c r="E21" s="11">
        <f>IF(AND(C21&lt;&gt;"",C21=C20),"Ligne 1 : même médecin deux jours de suite. ","")&amp;IF(AND(D21&lt;&gt;"",D21=D20),"Ligne 2 : même médecin deux jours de suite. ","")&amp;IF(AND(C21&lt;&gt;"",C21=D21),"Même médecin sur les deux lignes. ","")&amp;IF(AND(C21&lt;&gt;"",COUNTIFS(AbsMed,C21,AbsDu,"&lt;="&amp;A21,AbsAu,"&gt;="&amp;A21)&gt;0),C21&amp;" absent. ","")&amp;IF(AND(D21&lt;&gt;"",COUNTIFS(AbsMed,D21,AbsDu,"&lt;="&amp;A21,AbsAu,"&gt;="&amp;A21)&gt;0),D21&amp;" absent. ","")</f>
        <v>0</v>
      </c>
    </row>
    <row r="22" spans="1:5">
      <c r="A22" s="10">
        <f>Debut+20</f>
        <v>2027-01-21 00:00:00</v>
      </c>
      <c r="B22" s="6">
        <f>IF(COUNTIF(Feries,A22)&gt;0,"Férié",IF(WEEKDAY(A22,2)=6,"Samedi",IF(WEEKDAY(A22,2)=7,"Dimanche","Semaine")))</f>
        <v>0</v>
      </c>
      <c r="C22" s="8" t="s">
        <v>34</v>
      </c>
      <c r="D22" s="8" t="s">
        <v>30</v>
      </c>
      <c r="E22" s="11">
        <f>IF(AND(C22&lt;&gt;"",C22=C21),"Ligne 1 : même médecin deux jours de suite. ","")&amp;IF(AND(D22&lt;&gt;"",D22=D21),"Ligne 2 : même médecin deux jours de suite. ","")&amp;IF(AND(C22&lt;&gt;"",C22=D22),"Même médecin sur les deux lignes. ","")&amp;IF(AND(C22&lt;&gt;"",COUNTIFS(AbsMed,C22,AbsDu,"&lt;="&amp;A22,AbsAu,"&gt;="&amp;A22)&gt;0),C22&amp;" absent. ","")&amp;IF(AND(D22&lt;&gt;"",COUNTIFS(AbsMed,D22,AbsDu,"&lt;="&amp;A22,AbsAu,"&gt;="&amp;A22)&gt;0),D22&amp;" absent. ","")</f>
        <v>0</v>
      </c>
    </row>
    <row r="23" spans="1:5">
      <c r="A23" s="10">
        <f>Debut+21</f>
        <v>2027-01-22 00:00:00</v>
      </c>
      <c r="B23" s="6">
        <f>IF(COUNTIF(Feries,A23)&gt;0,"Férié",IF(WEEKDAY(A23,2)=6,"Samedi",IF(WEEKDAY(A23,2)=7,"Dimanche","Semaine")))</f>
        <v>0</v>
      </c>
      <c r="C23" s="8" t="s">
        <v>36</v>
      </c>
      <c r="D23" s="8" t="s">
        <v>35</v>
      </c>
      <c r="E23" s="11">
        <f>IF(AND(C23&lt;&gt;"",C23=C22),"Ligne 1 : même médecin deux jours de suite. ","")&amp;IF(AND(D23&lt;&gt;"",D23=D22),"Ligne 2 : même médecin deux jours de suite. ","")&amp;IF(AND(C23&lt;&gt;"",C23=D23),"Même médecin sur les deux lignes. ","")&amp;IF(AND(C23&lt;&gt;"",COUNTIFS(AbsMed,C23,AbsDu,"&lt;="&amp;A23,AbsAu,"&gt;="&amp;A23)&gt;0),C23&amp;" absent. ","")&amp;IF(AND(D23&lt;&gt;"",COUNTIFS(AbsMed,D23,AbsDu,"&lt;="&amp;A23,AbsAu,"&gt;="&amp;A23)&gt;0),D23&amp;" absent. ","")</f>
        <v>0</v>
      </c>
    </row>
    <row r="24" spans="1:5">
      <c r="A24" s="10">
        <f>Debut+22</f>
        <v>2027-01-23 00:00:00</v>
      </c>
      <c r="B24" s="6">
        <f>IF(COUNTIF(Feries,A24)&gt;0,"Férié",IF(WEEKDAY(A24,2)=6,"Samedi",IF(WEEKDAY(A24,2)=7,"Dimanche","Semaine")))</f>
        <v>0</v>
      </c>
      <c r="C24" s="8" t="s">
        <v>29</v>
      </c>
      <c r="D24" s="8" t="s">
        <v>31</v>
      </c>
      <c r="E24" s="11">
        <f>IF(AND(C24&lt;&gt;"",C24=C23),"Ligne 1 : même médecin deux jours de suite. ","")&amp;IF(AND(D24&lt;&gt;"",D24=D23),"Ligne 2 : même médecin deux jours de suite. ","")&amp;IF(AND(C24&lt;&gt;"",C24=D24),"Même médecin sur les deux lignes. ","")&amp;IF(AND(C24&lt;&gt;"",COUNTIFS(AbsMed,C24,AbsDu,"&lt;="&amp;A24,AbsAu,"&gt;="&amp;A24)&gt;0),C24&amp;" absent. ","")&amp;IF(AND(D24&lt;&gt;"",COUNTIFS(AbsMed,D24,AbsDu,"&lt;="&amp;A24,AbsAu,"&gt;="&amp;A24)&gt;0),D24&amp;" absent. ","")</f>
        <v>0</v>
      </c>
    </row>
    <row r="25" spans="1:5">
      <c r="A25" s="10">
        <f>Debut+23</f>
        <v>2027-01-24 00:00:00</v>
      </c>
      <c r="B25" s="6">
        <f>IF(COUNTIF(Feries,A25)&gt;0,"Férié",IF(WEEKDAY(A25,2)=6,"Samedi",IF(WEEKDAY(A25,2)=7,"Dimanche","Semaine")))</f>
        <v>0</v>
      </c>
      <c r="C25" s="8" t="s">
        <v>31</v>
      </c>
      <c r="D25" s="8" t="s">
        <v>36</v>
      </c>
      <c r="E25" s="11">
        <f>IF(AND(C25&lt;&gt;"",C25=C24),"Ligne 1 : même médecin deux jours de suite. ","")&amp;IF(AND(D25&lt;&gt;"",D25=D24),"Ligne 2 : même médecin deux jours de suite. ","")&amp;IF(AND(C25&lt;&gt;"",C25=D25),"Même médecin sur les deux lignes. ","")&amp;IF(AND(C25&lt;&gt;"",COUNTIFS(AbsMed,C25,AbsDu,"&lt;="&amp;A25,AbsAu,"&gt;="&amp;A25)&gt;0),C25&amp;" absent. ","")&amp;IF(AND(D25&lt;&gt;"",COUNTIFS(AbsMed,D25,AbsDu,"&lt;="&amp;A25,AbsAu,"&gt;="&amp;A25)&gt;0),D25&amp;" absent. ","")</f>
        <v>0</v>
      </c>
    </row>
    <row r="26" spans="1:5">
      <c r="A26" s="10">
        <f>Debut+24</f>
        <v>2027-01-25 00:00:00</v>
      </c>
      <c r="B26" s="6">
        <f>IF(COUNTIF(Feries,A26)&gt;0,"Férié",IF(WEEKDAY(A26,2)=6,"Samedi",IF(WEEKDAY(A26,2)=7,"Dimanche","Semaine")))</f>
        <v>0</v>
      </c>
      <c r="C26" s="8" t="s">
        <v>33</v>
      </c>
      <c r="D26" s="8" t="s">
        <v>32</v>
      </c>
      <c r="E26" s="11">
        <f>IF(AND(C26&lt;&gt;"",C26=C25),"Ligne 1 : même médecin deux jours de suite. ","")&amp;IF(AND(D26&lt;&gt;"",D26=D25),"Ligne 2 : même médecin deux jours de suite. ","")&amp;IF(AND(C26&lt;&gt;"",C26=D26),"Même médecin sur les deux lignes. ","")&amp;IF(AND(C26&lt;&gt;"",COUNTIFS(AbsMed,C26,AbsDu,"&lt;="&amp;A26,AbsAu,"&gt;="&amp;A26)&gt;0),C26&amp;" absent. ","")&amp;IF(AND(D26&lt;&gt;"",COUNTIFS(AbsMed,D26,AbsDu,"&lt;="&amp;A26,AbsAu,"&gt;="&amp;A26)&gt;0),D26&amp;" absent. ","")</f>
        <v>0</v>
      </c>
    </row>
    <row r="27" spans="1:5">
      <c r="A27" s="10">
        <f>Debut+25</f>
        <v>2027-01-26 00:00:00</v>
      </c>
      <c r="B27" s="6">
        <f>IF(COUNTIF(Feries,A27)&gt;0,"Férié",IF(WEEKDAY(A27,2)=6,"Samedi",IF(WEEKDAY(A27,2)=7,"Dimanche","Semaine")))</f>
        <v>0</v>
      </c>
      <c r="C27" s="8" t="s">
        <v>35</v>
      </c>
      <c r="D27" s="8" t="s">
        <v>37</v>
      </c>
      <c r="E27" s="11">
        <f>IF(AND(C27&lt;&gt;"",C27=C26),"Ligne 1 : même médecin deux jours de suite. ","")&amp;IF(AND(D27&lt;&gt;"",D27=D26),"Ligne 2 : même médecin deux jours de suite. ","")&amp;IF(AND(C27&lt;&gt;"",C27=D27),"Même médecin sur les deux lignes. ","")&amp;IF(AND(C27&lt;&gt;"",COUNTIFS(AbsMed,C27,AbsDu,"&lt;="&amp;A27,AbsAu,"&gt;="&amp;A27)&gt;0),C27&amp;" absent. ","")&amp;IF(AND(D27&lt;&gt;"",COUNTIFS(AbsMed,D27,AbsDu,"&lt;="&amp;A27,AbsAu,"&gt;="&amp;A27)&gt;0),D27&amp;" absent. ","")</f>
        <v>0</v>
      </c>
    </row>
    <row r="28" spans="1:5">
      <c r="A28" s="10">
        <f>Debut+26</f>
        <v>2027-01-27 00:00:00</v>
      </c>
      <c r="B28" s="6">
        <f>IF(COUNTIF(Feries,A28)&gt;0,"Férié",IF(WEEKDAY(A28,2)=6,"Samedi",IF(WEEKDAY(A28,2)=7,"Dimanche","Semaine")))</f>
        <v>0</v>
      </c>
      <c r="C28" s="8" t="s">
        <v>37</v>
      </c>
      <c r="D28" s="8" t="s">
        <v>33</v>
      </c>
      <c r="E28" s="11">
        <f>IF(AND(C28&lt;&gt;"",C28=C27),"Ligne 1 : même médecin deux jours de suite. ","")&amp;IF(AND(D28&lt;&gt;"",D28=D27),"Ligne 2 : même médecin deux jours de suite. ","")&amp;IF(AND(C28&lt;&gt;"",C28=D28),"Même médecin sur les deux lignes. ","")&amp;IF(AND(C28&lt;&gt;"",COUNTIFS(AbsMed,C28,AbsDu,"&lt;="&amp;A28,AbsAu,"&gt;="&amp;A28)&gt;0),C28&amp;" absent. ","")&amp;IF(AND(D28&lt;&gt;"",COUNTIFS(AbsMed,D28,AbsDu,"&lt;="&amp;A28,AbsAu,"&gt;="&amp;A28)&gt;0),D28&amp;" absent. ","")</f>
        <v>0</v>
      </c>
    </row>
    <row r="29" spans="1:5">
      <c r="A29" s="10">
        <f>Debut+27</f>
        <v>2027-01-28 00:00:00</v>
      </c>
      <c r="B29" s="6">
        <f>IF(COUNTIF(Feries,A29)&gt;0,"Férié",IF(WEEKDAY(A29,2)=6,"Samedi",IF(WEEKDAY(A29,2)=7,"Dimanche","Semaine")))</f>
        <v>0</v>
      </c>
      <c r="C29" s="8" t="s">
        <v>32</v>
      </c>
      <c r="D29" s="8" t="s">
        <v>29</v>
      </c>
      <c r="E29" s="11">
        <f>IF(AND(C29&lt;&gt;"",C29=C28),"Ligne 1 : même médecin deux jours de suite. ","")&amp;IF(AND(D29&lt;&gt;"",D29=D28),"Ligne 2 : même médecin deux jours de suite. ","")&amp;IF(AND(C29&lt;&gt;"",C29=D29),"Même médecin sur les deux lignes. ","")&amp;IF(AND(C29&lt;&gt;"",COUNTIFS(AbsMed,C29,AbsDu,"&lt;="&amp;A29,AbsAu,"&gt;="&amp;A29)&gt;0),C29&amp;" absent. ","")&amp;IF(AND(D29&lt;&gt;"",COUNTIFS(AbsMed,D29,AbsDu,"&lt;="&amp;A29,AbsAu,"&gt;="&amp;A29)&gt;0),D29&amp;" absent. ","")</f>
        <v>0</v>
      </c>
    </row>
    <row r="30" spans="1:5">
      <c r="A30" s="10">
        <f>Debut+28</f>
        <v>2027-01-29 00:00:00</v>
      </c>
      <c r="B30" s="6">
        <f>IF(COUNTIF(Feries,A30)&gt;0,"Férié",IF(WEEKDAY(A30,2)=6,"Samedi",IF(WEEKDAY(A30,2)=7,"Dimanche","Semaine")))</f>
        <v>0</v>
      </c>
      <c r="C30" s="8"/>
      <c r="D30" s="8"/>
      <c r="E30" s="11">
        <f>IF(AND(C30&lt;&gt;"",C30=C29),"Ligne 1 : même médecin deux jours de suite. ","")&amp;IF(AND(D30&lt;&gt;"",D30=D29),"Ligne 2 : même médecin deux jours de suite. ","")&amp;IF(AND(C30&lt;&gt;"",C30=D30),"Même médecin sur les deux lignes. ","")&amp;IF(AND(C30&lt;&gt;"",COUNTIFS(AbsMed,C30,AbsDu,"&lt;="&amp;A30,AbsAu,"&gt;="&amp;A30)&gt;0),C30&amp;" absent. ","")&amp;IF(AND(D30&lt;&gt;"",COUNTIFS(AbsMed,D30,AbsDu,"&lt;="&amp;A30,AbsAu,"&gt;="&amp;A30)&gt;0),D30&amp;" absent. ","")</f>
        <v>0</v>
      </c>
    </row>
    <row r="31" spans="1:5">
      <c r="A31" s="10">
        <f>Debut+29</f>
        <v>2027-01-30 00:00:00</v>
      </c>
      <c r="B31" s="6">
        <f>IF(COUNTIF(Feries,A31)&gt;0,"Férié",IF(WEEKDAY(A31,2)=6,"Samedi",IF(WEEKDAY(A31,2)=7,"Dimanche","Semaine")))</f>
        <v>0</v>
      </c>
      <c r="C31" s="8"/>
      <c r="D31" s="8"/>
      <c r="E31" s="11">
        <f>IF(AND(C31&lt;&gt;"",C31=C30),"Ligne 1 : même médecin deux jours de suite. ","")&amp;IF(AND(D31&lt;&gt;"",D31=D30),"Ligne 2 : même médecin deux jours de suite. ","")&amp;IF(AND(C31&lt;&gt;"",C31=D31),"Même médecin sur les deux lignes. ","")&amp;IF(AND(C31&lt;&gt;"",COUNTIFS(AbsMed,C31,AbsDu,"&lt;="&amp;A31,AbsAu,"&gt;="&amp;A31)&gt;0),C31&amp;" absent. ","")&amp;IF(AND(D31&lt;&gt;"",COUNTIFS(AbsMed,D31,AbsDu,"&lt;="&amp;A31,AbsAu,"&gt;="&amp;A31)&gt;0),D31&amp;" absent. ","")</f>
        <v>0</v>
      </c>
    </row>
    <row r="32" spans="1:5">
      <c r="A32" s="10">
        <f>Debut+30</f>
        <v>2027-01-31 00:00:00</v>
      </c>
      <c r="B32" s="6">
        <f>IF(COUNTIF(Feries,A32)&gt;0,"Férié",IF(WEEKDAY(A32,2)=6,"Samedi",IF(WEEKDAY(A32,2)=7,"Dimanche","Semaine")))</f>
        <v>0</v>
      </c>
      <c r="C32" s="8"/>
      <c r="D32" s="8"/>
      <c r="E32" s="11">
        <f>IF(AND(C32&lt;&gt;"",C32=C31),"Ligne 1 : même médecin deux jours de suite. ","")&amp;IF(AND(D32&lt;&gt;"",D32=D31),"Ligne 2 : même médecin deux jours de suite. ","")&amp;IF(AND(C32&lt;&gt;"",C32=D32),"Même médecin sur les deux lignes. ","")&amp;IF(AND(C32&lt;&gt;"",COUNTIFS(AbsMed,C32,AbsDu,"&lt;="&amp;A32,AbsAu,"&gt;="&amp;A32)&gt;0),C32&amp;" absent. ","")&amp;IF(AND(D32&lt;&gt;"",COUNTIFS(AbsMed,D32,AbsDu,"&lt;="&amp;A32,AbsAu,"&gt;="&amp;A32)&gt;0),D32&amp;" absent. ","")</f>
        <v>0</v>
      </c>
    </row>
    <row r="33" spans="1:5">
      <c r="A33" s="10">
        <f>Debut+31</f>
        <v>2027-02-01 00:00:00</v>
      </c>
      <c r="B33" s="6">
        <f>IF(COUNTIF(Feries,A33)&gt;0,"Férié",IF(WEEKDAY(A33,2)=6,"Samedi",IF(WEEKDAY(A33,2)=7,"Dimanche","Semaine")))</f>
        <v>0</v>
      </c>
      <c r="C33" s="8"/>
      <c r="D33" s="8"/>
      <c r="E33" s="11">
        <f>IF(AND(C33&lt;&gt;"",C33=C32),"Ligne 1 : même médecin deux jours de suite. ","")&amp;IF(AND(D33&lt;&gt;"",D33=D32),"Ligne 2 : même médecin deux jours de suite. ","")&amp;IF(AND(C33&lt;&gt;"",C33=D33),"Même médecin sur les deux lignes. ","")&amp;IF(AND(C33&lt;&gt;"",COUNTIFS(AbsMed,C33,AbsDu,"&lt;="&amp;A33,AbsAu,"&gt;="&amp;A33)&gt;0),C33&amp;" absent. ","")&amp;IF(AND(D33&lt;&gt;"",COUNTIFS(AbsMed,D33,AbsDu,"&lt;="&amp;A33,AbsAu,"&gt;="&amp;A33)&gt;0),D33&amp;" absent. ","")</f>
        <v>0</v>
      </c>
    </row>
    <row r="34" spans="1:5">
      <c r="A34" s="10">
        <f>Debut+32</f>
        <v>2027-02-02 00:00:00</v>
      </c>
      <c r="B34" s="6">
        <f>IF(COUNTIF(Feries,A34)&gt;0,"Férié",IF(WEEKDAY(A34,2)=6,"Samedi",IF(WEEKDAY(A34,2)=7,"Dimanche","Semaine")))</f>
        <v>0</v>
      </c>
      <c r="C34" s="8"/>
      <c r="D34" s="8"/>
      <c r="E34" s="11">
        <f>IF(AND(C34&lt;&gt;"",C34=C33),"Ligne 1 : même médecin deux jours de suite. ","")&amp;IF(AND(D34&lt;&gt;"",D34=D33),"Ligne 2 : même médecin deux jours de suite. ","")&amp;IF(AND(C34&lt;&gt;"",C34=D34),"Même médecin sur les deux lignes. ","")&amp;IF(AND(C34&lt;&gt;"",COUNTIFS(AbsMed,C34,AbsDu,"&lt;="&amp;A34,AbsAu,"&gt;="&amp;A34)&gt;0),C34&amp;" absent. ","")&amp;IF(AND(D34&lt;&gt;"",COUNTIFS(AbsMed,D34,AbsDu,"&lt;="&amp;A34,AbsAu,"&gt;="&amp;A34)&gt;0),D34&amp;" absent. ","")</f>
        <v>0</v>
      </c>
    </row>
    <row r="35" spans="1:5">
      <c r="A35" s="10">
        <f>Debut+33</f>
        <v>2027-02-03 00:00:00</v>
      </c>
      <c r="B35" s="6">
        <f>IF(COUNTIF(Feries,A35)&gt;0,"Férié",IF(WEEKDAY(A35,2)=6,"Samedi",IF(WEEKDAY(A35,2)=7,"Dimanche","Semaine")))</f>
        <v>0</v>
      </c>
      <c r="C35" s="8"/>
      <c r="D35" s="8"/>
      <c r="E35" s="11">
        <f>IF(AND(C35&lt;&gt;"",C35=C34),"Ligne 1 : même médecin deux jours de suite. ","")&amp;IF(AND(D35&lt;&gt;"",D35=D34),"Ligne 2 : même médecin deux jours de suite. ","")&amp;IF(AND(C35&lt;&gt;"",C35=D35),"Même médecin sur les deux lignes. ","")&amp;IF(AND(C35&lt;&gt;"",COUNTIFS(AbsMed,C35,AbsDu,"&lt;="&amp;A35,AbsAu,"&gt;="&amp;A35)&gt;0),C35&amp;" absent. ","")&amp;IF(AND(D35&lt;&gt;"",COUNTIFS(AbsMed,D35,AbsDu,"&lt;="&amp;A35,AbsAu,"&gt;="&amp;A35)&gt;0),D35&amp;" absent. ","")</f>
        <v>0</v>
      </c>
    </row>
    <row r="36" spans="1:5">
      <c r="A36" s="10">
        <f>Debut+34</f>
        <v>2027-02-04 00:00:00</v>
      </c>
      <c r="B36" s="6">
        <f>IF(COUNTIF(Feries,A36)&gt;0,"Férié",IF(WEEKDAY(A36,2)=6,"Samedi",IF(WEEKDAY(A36,2)=7,"Dimanche","Semaine")))</f>
        <v>0</v>
      </c>
      <c r="C36" s="8"/>
      <c r="D36" s="8"/>
      <c r="E36" s="11">
        <f>IF(AND(C36&lt;&gt;"",C36=C35),"Ligne 1 : même médecin deux jours de suite. ","")&amp;IF(AND(D36&lt;&gt;"",D36=D35),"Ligne 2 : même médecin deux jours de suite. ","")&amp;IF(AND(C36&lt;&gt;"",C36=D36),"Même médecin sur les deux lignes. ","")&amp;IF(AND(C36&lt;&gt;"",COUNTIFS(AbsMed,C36,AbsDu,"&lt;="&amp;A36,AbsAu,"&gt;="&amp;A36)&gt;0),C36&amp;" absent. ","")&amp;IF(AND(D36&lt;&gt;"",COUNTIFS(AbsMed,D36,AbsDu,"&lt;="&amp;A36,AbsAu,"&gt;="&amp;A36)&gt;0),D36&amp;" absent. ","")</f>
        <v>0</v>
      </c>
    </row>
    <row r="37" spans="1:5">
      <c r="A37" s="10">
        <f>Debut+35</f>
        <v>2027-02-05 00:00:00</v>
      </c>
      <c r="B37" s="6">
        <f>IF(COUNTIF(Feries,A37)&gt;0,"Férié",IF(WEEKDAY(A37,2)=6,"Samedi",IF(WEEKDAY(A37,2)=7,"Dimanche","Semaine")))</f>
        <v>0</v>
      </c>
      <c r="C37" s="8"/>
      <c r="D37" s="8"/>
      <c r="E37" s="11">
        <f>IF(AND(C37&lt;&gt;"",C37=C36),"Ligne 1 : même médecin deux jours de suite. ","")&amp;IF(AND(D37&lt;&gt;"",D37=D36),"Ligne 2 : même médecin deux jours de suite. ","")&amp;IF(AND(C37&lt;&gt;"",C37=D37),"Même médecin sur les deux lignes. ","")&amp;IF(AND(C37&lt;&gt;"",COUNTIFS(AbsMed,C37,AbsDu,"&lt;="&amp;A37,AbsAu,"&gt;="&amp;A37)&gt;0),C37&amp;" absent. ","")&amp;IF(AND(D37&lt;&gt;"",COUNTIFS(AbsMed,D37,AbsDu,"&lt;="&amp;A37,AbsAu,"&gt;="&amp;A37)&gt;0),D37&amp;" absent. ","")</f>
        <v>0</v>
      </c>
    </row>
    <row r="38" spans="1:5">
      <c r="A38" s="10">
        <f>Debut+36</f>
        <v>2027-02-06 00:00:00</v>
      </c>
      <c r="B38" s="6">
        <f>IF(COUNTIF(Feries,A38)&gt;0,"Férié",IF(WEEKDAY(A38,2)=6,"Samedi",IF(WEEKDAY(A38,2)=7,"Dimanche","Semaine")))</f>
        <v>0</v>
      </c>
      <c r="C38" s="8"/>
      <c r="D38" s="8"/>
      <c r="E38" s="11">
        <f>IF(AND(C38&lt;&gt;"",C38=C37),"Ligne 1 : même médecin deux jours de suite. ","")&amp;IF(AND(D38&lt;&gt;"",D38=D37),"Ligne 2 : même médecin deux jours de suite. ","")&amp;IF(AND(C38&lt;&gt;"",C38=D38),"Même médecin sur les deux lignes. ","")&amp;IF(AND(C38&lt;&gt;"",COUNTIFS(AbsMed,C38,AbsDu,"&lt;="&amp;A38,AbsAu,"&gt;="&amp;A38)&gt;0),C38&amp;" absent. ","")&amp;IF(AND(D38&lt;&gt;"",COUNTIFS(AbsMed,D38,AbsDu,"&lt;="&amp;A38,AbsAu,"&gt;="&amp;A38)&gt;0),D38&amp;" absent. ","")</f>
        <v>0</v>
      </c>
    </row>
    <row r="39" spans="1:5">
      <c r="A39" s="10">
        <f>Debut+37</f>
        <v>2027-02-07 00:00:00</v>
      </c>
      <c r="B39" s="6">
        <f>IF(COUNTIF(Feries,A39)&gt;0,"Férié",IF(WEEKDAY(A39,2)=6,"Samedi",IF(WEEKDAY(A39,2)=7,"Dimanche","Semaine")))</f>
        <v>0</v>
      </c>
      <c r="C39" s="8"/>
      <c r="D39" s="8"/>
      <c r="E39" s="11">
        <f>IF(AND(C39&lt;&gt;"",C39=C38),"Ligne 1 : même médecin deux jours de suite. ","")&amp;IF(AND(D39&lt;&gt;"",D39=D38),"Ligne 2 : même médecin deux jours de suite. ","")&amp;IF(AND(C39&lt;&gt;"",C39=D39),"Même médecin sur les deux lignes. ","")&amp;IF(AND(C39&lt;&gt;"",COUNTIFS(AbsMed,C39,AbsDu,"&lt;="&amp;A39,AbsAu,"&gt;="&amp;A39)&gt;0),C39&amp;" absent. ","")&amp;IF(AND(D39&lt;&gt;"",COUNTIFS(AbsMed,D39,AbsDu,"&lt;="&amp;A39,AbsAu,"&gt;="&amp;A39)&gt;0),D39&amp;" absent. ","")</f>
        <v>0</v>
      </c>
    </row>
    <row r="40" spans="1:5">
      <c r="A40" s="10">
        <f>Debut+38</f>
        <v>2027-02-08 00:00:00</v>
      </c>
      <c r="B40" s="6">
        <f>IF(COUNTIF(Feries,A40)&gt;0,"Férié",IF(WEEKDAY(A40,2)=6,"Samedi",IF(WEEKDAY(A40,2)=7,"Dimanche","Semaine")))</f>
        <v>0</v>
      </c>
      <c r="C40" s="8"/>
      <c r="D40" s="8"/>
      <c r="E40" s="11">
        <f>IF(AND(C40&lt;&gt;"",C40=C39),"Ligne 1 : même médecin deux jours de suite. ","")&amp;IF(AND(D40&lt;&gt;"",D40=D39),"Ligne 2 : même médecin deux jours de suite. ","")&amp;IF(AND(C40&lt;&gt;"",C40=D40),"Même médecin sur les deux lignes. ","")&amp;IF(AND(C40&lt;&gt;"",COUNTIFS(AbsMed,C40,AbsDu,"&lt;="&amp;A40,AbsAu,"&gt;="&amp;A40)&gt;0),C40&amp;" absent. ","")&amp;IF(AND(D40&lt;&gt;"",COUNTIFS(AbsMed,D40,AbsDu,"&lt;="&amp;A40,AbsAu,"&gt;="&amp;A40)&gt;0),D40&amp;" absent. ","")</f>
        <v>0</v>
      </c>
    </row>
    <row r="41" spans="1:5">
      <c r="A41" s="10">
        <f>Debut+39</f>
        <v>2027-02-09 00:00:00</v>
      </c>
      <c r="B41" s="6">
        <f>IF(COUNTIF(Feries,A41)&gt;0,"Férié",IF(WEEKDAY(A41,2)=6,"Samedi",IF(WEEKDAY(A41,2)=7,"Dimanche","Semaine")))</f>
        <v>0</v>
      </c>
      <c r="C41" s="8"/>
      <c r="D41" s="8"/>
      <c r="E41" s="11">
        <f>IF(AND(C41&lt;&gt;"",C41=C40),"Ligne 1 : même médecin deux jours de suite. ","")&amp;IF(AND(D41&lt;&gt;"",D41=D40),"Ligne 2 : même médecin deux jours de suite. ","")&amp;IF(AND(C41&lt;&gt;"",C41=D41),"Même médecin sur les deux lignes. ","")&amp;IF(AND(C41&lt;&gt;"",COUNTIFS(AbsMed,C41,AbsDu,"&lt;="&amp;A41,AbsAu,"&gt;="&amp;A41)&gt;0),C41&amp;" absent. ","")&amp;IF(AND(D41&lt;&gt;"",COUNTIFS(AbsMed,D41,AbsDu,"&lt;="&amp;A41,AbsAu,"&gt;="&amp;A41)&gt;0),D41&amp;" absent. ","")</f>
        <v>0</v>
      </c>
    </row>
    <row r="42" spans="1:5">
      <c r="A42" s="10">
        <f>Debut+40</f>
        <v>2027-02-10 00:00:00</v>
      </c>
      <c r="B42" s="6">
        <f>IF(COUNTIF(Feries,A42)&gt;0,"Férié",IF(WEEKDAY(A42,2)=6,"Samedi",IF(WEEKDAY(A42,2)=7,"Dimanche","Semaine")))</f>
        <v>0</v>
      </c>
      <c r="C42" s="8"/>
      <c r="D42" s="8"/>
      <c r="E42" s="11">
        <f>IF(AND(C42&lt;&gt;"",C42=C41),"Ligne 1 : même médecin deux jours de suite. ","")&amp;IF(AND(D42&lt;&gt;"",D42=D41),"Ligne 2 : même médecin deux jours de suite. ","")&amp;IF(AND(C42&lt;&gt;"",C42=D42),"Même médecin sur les deux lignes. ","")&amp;IF(AND(C42&lt;&gt;"",COUNTIFS(AbsMed,C42,AbsDu,"&lt;="&amp;A42,AbsAu,"&gt;="&amp;A42)&gt;0),C42&amp;" absent. ","")&amp;IF(AND(D42&lt;&gt;"",COUNTIFS(AbsMed,D42,AbsDu,"&lt;="&amp;A42,AbsAu,"&gt;="&amp;A42)&gt;0),D42&amp;" absent. ","")</f>
        <v>0</v>
      </c>
    </row>
    <row r="43" spans="1:5">
      <c r="A43" s="10">
        <f>Debut+41</f>
        <v>2027-02-11 00:00:00</v>
      </c>
      <c r="B43" s="6">
        <f>IF(COUNTIF(Feries,A43)&gt;0,"Férié",IF(WEEKDAY(A43,2)=6,"Samedi",IF(WEEKDAY(A43,2)=7,"Dimanche","Semaine")))</f>
        <v>0</v>
      </c>
      <c r="C43" s="8"/>
      <c r="D43" s="8"/>
      <c r="E43" s="11">
        <f>IF(AND(C43&lt;&gt;"",C43=C42),"Ligne 1 : même médecin deux jours de suite. ","")&amp;IF(AND(D43&lt;&gt;"",D43=D42),"Ligne 2 : même médecin deux jours de suite. ","")&amp;IF(AND(C43&lt;&gt;"",C43=D43),"Même médecin sur les deux lignes. ","")&amp;IF(AND(C43&lt;&gt;"",COUNTIFS(AbsMed,C43,AbsDu,"&lt;="&amp;A43,AbsAu,"&gt;="&amp;A43)&gt;0),C43&amp;" absent. ","")&amp;IF(AND(D43&lt;&gt;"",COUNTIFS(AbsMed,D43,AbsDu,"&lt;="&amp;A43,AbsAu,"&gt;="&amp;A43)&gt;0),D43&amp;" absent. ","")</f>
        <v>0</v>
      </c>
    </row>
    <row r="44" spans="1:5">
      <c r="A44" s="10">
        <f>Debut+42</f>
        <v>2027-02-12 00:00:00</v>
      </c>
      <c r="B44" s="6">
        <f>IF(COUNTIF(Feries,A44)&gt;0,"Férié",IF(WEEKDAY(A44,2)=6,"Samedi",IF(WEEKDAY(A44,2)=7,"Dimanche","Semaine")))</f>
        <v>0</v>
      </c>
      <c r="C44" s="8"/>
      <c r="D44" s="8"/>
      <c r="E44" s="11">
        <f>IF(AND(C44&lt;&gt;"",C44=C43),"Ligne 1 : même médecin deux jours de suite. ","")&amp;IF(AND(D44&lt;&gt;"",D44=D43),"Ligne 2 : même médecin deux jours de suite. ","")&amp;IF(AND(C44&lt;&gt;"",C44=D44),"Même médecin sur les deux lignes. ","")&amp;IF(AND(C44&lt;&gt;"",COUNTIFS(AbsMed,C44,AbsDu,"&lt;="&amp;A44,AbsAu,"&gt;="&amp;A44)&gt;0),C44&amp;" absent. ","")&amp;IF(AND(D44&lt;&gt;"",COUNTIFS(AbsMed,D44,AbsDu,"&lt;="&amp;A44,AbsAu,"&gt;="&amp;A44)&gt;0),D44&amp;" absent. ","")</f>
        <v>0</v>
      </c>
    </row>
    <row r="45" spans="1:5">
      <c r="A45" s="10">
        <f>Debut+43</f>
        <v>2027-02-13 00:00:00</v>
      </c>
      <c r="B45" s="6">
        <f>IF(COUNTIF(Feries,A45)&gt;0,"Férié",IF(WEEKDAY(A45,2)=6,"Samedi",IF(WEEKDAY(A45,2)=7,"Dimanche","Semaine")))</f>
        <v>0</v>
      </c>
      <c r="C45" s="8"/>
      <c r="D45" s="8"/>
      <c r="E45" s="11">
        <f>IF(AND(C45&lt;&gt;"",C45=C44),"Ligne 1 : même médecin deux jours de suite. ","")&amp;IF(AND(D45&lt;&gt;"",D45=D44),"Ligne 2 : même médecin deux jours de suite. ","")&amp;IF(AND(C45&lt;&gt;"",C45=D45),"Même médecin sur les deux lignes. ","")&amp;IF(AND(C45&lt;&gt;"",COUNTIFS(AbsMed,C45,AbsDu,"&lt;="&amp;A45,AbsAu,"&gt;="&amp;A45)&gt;0),C45&amp;" absent. ","")&amp;IF(AND(D45&lt;&gt;"",COUNTIFS(AbsMed,D45,AbsDu,"&lt;="&amp;A45,AbsAu,"&gt;="&amp;A45)&gt;0),D45&amp;" absent. ","")</f>
        <v>0</v>
      </c>
    </row>
    <row r="46" spans="1:5">
      <c r="A46" s="10">
        <f>Debut+44</f>
        <v>2027-02-14 00:00:00</v>
      </c>
      <c r="B46" s="6">
        <f>IF(COUNTIF(Feries,A46)&gt;0,"Férié",IF(WEEKDAY(A46,2)=6,"Samedi",IF(WEEKDAY(A46,2)=7,"Dimanche","Semaine")))</f>
        <v>0</v>
      </c>
      <c r="C46" s="8"/>
      <c r="D46" s="8"/>
      <c r="E46" s="11">
        <f>IF(AND(C46&lt;&gt;"",C46=C45),"Ligne 1 : même médecin deux jours de suite. ","")&amp;IF(AND(D46&lt;&gt;"",D46=D45),"Ligne 2 : même médecin deux jours de suite. ","")&amp;IF(AND(C46&lt;&gt;"",C46=D46),"Même médecin sur les deux lignes. ","")&amp;IF(AND(C46&lt;&gt;"",COUNTIFS(AbsMed,C46,AbsDu,"&lt;="&amp;A46,AbsAu,"&gt;="&amp;A46)&gt;0),C46&amp;" absent. ","")&amp;IF(AND(D46&lt;&gt;"",COUNTIFS(AbsMed,D46,AbsDu,"&lt;="&amp;A46,AbsAu,"&gt;="&amp;A46)&gt;0),D46&amp;" absent. ","")</f>
        <v>0</v>
      </c>
    </row>
    <row r="47" spans="1:5">
      <c r="A47" s="10">
        <f>Debut+45</f>
        <v>2027-02-15 00:00:00</v>
      </c>
      <c r="B47" s="6">
        <f>IF(COUNTIF(Feries,A47)&gt;0,"Férié",IF(WEEKDAY(A47,2)=6,"Samedi",IF(WEEKDAY(A47,2)=7,"Dimanche","Semaine")))</f>
        <v>0</v>
      </c>
      <c r="C47" s="8"/>
      <c r="D47" s="8"/>
      <c r="E47" s="11">
        <f>IF(AND(C47&lt;&gt;"",C47=C46),"Ligne 1 : même médecin deux jours de suite. ","")&amp;IF(AND(D47&lt;&gt;"",D47=D46),"Ligne 2 : même médecin deux jours de suite. ","")&amp;IF(AND(C47&lt;&gt;"",C47=D47),"Même médecin sur les deux lignes. ","")&amp;IF(AND(C47&lt;&gt;"",COUNTIFS(AbsMed,C47,AbsDu,"&lt;="&amp;A47,AbsAu,"&gt;="&amp;A47)&gt;0),C47&amp;" absent. ","")&amp;IF(AND(D47&lt;&gt;"",COUNTIFS(AbsMed,D47,AbsDu,"&lt;="&amp;A47,AbsAu,"&gt;="&amp;A47)&gt;0),D47&amp;" absent. ","")</f>
        <v>0</v>
      </c>
    </row>
    <row r="48" spans="1:5">
      <c r="A48" s="10">
        <f>Debut+46</f>
        <v>2027-02-16 00:00:00</v>
      </c>
      <c r="B48" s="6">
        <f>IF(COUNTIF(Feries,A48)&gt;0,"Férié",IF(WEEKDAY(A48,2)=6,"Samedi",IF(WEEKDAY(A48,2)=7,"Dimanche","Semaine")))</f>
        <v>0</v>
      </c>
      <c r="C48" s="8"/>
      <c r="D48" s="8"/>
      <c r="E48" s="11">
        <f>IF(AND(C48&lt;&gt;"",C48=C47),"Ligne 1 : même médecin deux jours de suite. ","")&amp;IF(AND(D48&lt;&gt;"",D48=D47),"Ligne 2 : même médecin deux jours de suite. ","")&amp;IF(AND(C48&lt;&gt;"",C48=D48),"Même médecin sur les deux lignes. ","")&amp;IF(AND(C48&lt;&gt;"",COUNTIFS(AbsMed,C48,AbsDu,"&lt;="&amp;A48,AbsAu,"&gt;="&amp;A48)&gt;0),C48&amp;" absent. ","")&amp;IF(AND(D48&lt;&gt;"",COUNTIFS(AbsMed,D48,AbsDu,"&lt;="&amp;A48,AbsAu,"&gt;="&amp;A48)&gt;0),D48&amp;" absent. ","")</f>
        <v>0</v>
      </c>
    </row>
    <row r="49" spans="1:5">
      <c r="A49" s="10">
        <f>Debut+47</f>
        <v>2027-02-17 00:00:00</v>
      </c>
      <c r="B49" s="6">
        <f>IF(COUNTIF(Feries,A49)&gt;0,"Férié",IF(WEEKDAY(A49,2)=6,"Samedi",IF(WEEKDAY(A49,2)=7,"Dimanche","Semaine")))</f>
        <v>0</v>
      </c>
      <c r="C49" s="8"/>
      <c r="D49" s="8"/>
      <c r="E49" s="11">
        <f>IF(AND(C49&lt;&gt;"",C49=C48),"Ligne 1 : même médecin deux jours de suite. ","")&amp;IF(AND(D49&lt;&gt;"",D49=D48),"Ligne 2 : même médecin deux jours de suite. ","")&amp;IF(AND(C49&lt;&gt;"",C49=D49),"Même médecin sur les deux lignes. ","")&amp;IF(AND(C49&lt;&gt;"",COUNTIFS(AbsMed,C49,AbsDu,"&lt;="&amp;A49,AbsAu,"&gt;="&amp;A49)&gt;0),C49&amp;" absent. ","")&amp;IF(AND(D49&lt;&gt;"",COUNTIFS(AbsMed,D49,AbsDu,"&lt;="&amp;A49,AbsAu,"&gt;="&amp;A49)&gt;0),D49&amp;" absent. ","")</f>
        <v>0</v>
      </c>
    </row>
    <row r="50" spans="1:5">
      <c r="A50" s="10">
        <f>Debut+48</f>
        <v>2027-02-18 00:00:00</v>
      </c>
      <c r="B50" s="6">
        <f>IF(COUNTIF(Feries,A50)&gt;0,"Férié",IF(WEEKDAY(A50,2)=6,"Samedi",IF(WEEKDAY(A50,2)=7,"Dimanche","Semaine")))</f>
        <v>0</v>
      </c>
      <c r="C50" s="8"/>
      <c r="D50" s="8"/>
      <c r="E50" s="11">
        <f>IF(AND(C50&lt;&gt;"",C50=C49),"Ligne 1 : même médecin deux jours de suite. ","")&amp;IF(AND(D50&lt;&gt;"",D50=D49),"Ligne 2 : même médecin deux jours de suite. ","")&amp;IF(AND(C50&lt;&gt;"",C50=D50),"Même médecin sur les deux lignes. ","")&amp;IF(AND(C50&lt;&gt;"",COUNTIFS(AbsMed,C50,AbsDu,"&lt;="&amp;A50,AbsAu,"&gt;="&amp;A50)&gt;0),C50&amp;" absent. ","")&amp;IF(AND(D50&lt;&gt;"",COUNTIFS(AbsMed,D50,AbsDu,"&lt;="&amp;A50,AbsAu,"&gt;="&amp;A50)&gt;0),D50&amp;" absent. ","")</f>
        <v>0</v>
      </c>
    </row>
    <row r="51" spans="1:5">
      <c r="A51" s="10">
        <f>Debut+49</f>
        <v>2027-02-19 00:00:00</v>
      </c>
      <c r="B51" s="6">
        <f>IF(COUNTIF(Feries,A51)&gt;0,"Férié",IF(WEEKDAY(A51,2)=6,"Samedi",IF(WEEKDAY(A51,2)=7,"Dimanche","Semaine")))</f>
        <v>0</v>
      </c>
      <c r="C51" s="8"/>
      <c r="D51" s="8"/>
      <c r="E51" s="11">
        <f>IF(AND(C51&lt;&gt;"",C51=C50),"Ligne 1 : même médecin deux jours de suite. ","")&amp;IF(AND(D51&lt;&gt;"",D51=D50),"Ligne 2 : même médecin deux jours de suite. ","")&amp;IF(AND(C51&lt;&gt;"",C51=D51),"Même médecin sur les deux lignes. ","")&amp;IF(AND(C51&lt;&gt;"",COUNTIFS(AbsMed,C51,AbsDu,"&lt;="&amp;A51,AbsAu,"&gt;="&amp;A51)&gt;0),C51&amp;" absent. ","")&amp;IF(AND(D51&lt;&gt;"",COUNTIFS(AbsMed,D51,AbsDu,"&lt;="&amp;A51,AbsAu,"&gt;="&amp;A51)&gt;0),D51&amp;" absent. ","")</f>
        <v>0</v>
      </c>
    </row>
    <row r="52" spans="1:5">
      <c r="A52" s="10">
        <f>Debut+50</f>
        <v>2027-02-20 00:00:00</v>
      </c>
      <c r="B52" s="6">
        <f>IF(COUNTIF(Feries,A52)&gt;0,"Férié",IF(WEEKDAY(A52,2)=6,"Samedi",IF(WEEKDAY(A52,2)=7,"Dimanche","Semaine")))</f>
        <v>0</v>
      </c>
      <c r="C52" s="8"/>
      <c r="D52" s="8"/>
      <c r="E52" s="11">
        <f>IF(AND(C52&lt;&gt;"",C52=C51),"Ligne 1 : même médecin deux jours de suite. ","")&amp;IF(AND(D52&lt;&gt;"",D52=D51),"Ligne 2 : même médecin deux jours de suite. ","")&amp;IF(AND(C52&lt;&gt;"",C52=D52),"Même médecin sur les deux lignes. ","")&amp;IF(AND(C52&lt;&gt;"",COUNTIFS(AbsMed,C52,AbsDu,"&lt;="&amp;A52,AbsAu,"&gt;="&amp;A52)&gt;0),C52&amp;" absent. ","")&amp;IF(AND(D52&lt;&gt;"",COUNTIFS(AbsMed,D52,AbsDu,"&lt;="&amp;A52,AbsAu,"&gt;="&amp;A52)&gt;0),D52&amp;" absent. ","")</f>
        <v>0</v>
      </c>
    </row>
    <row r="53" spans="1:5">
      <c r="A53" s="10">
        <f>Debut+51</f>
        <v>2027-02-21 00:00:00</v>
      </c>
      <c r="B53" s="6">
        <f>IF(COUNTIF(Feries,A53)&gt;0,"Férié",IF(WEEKDAY(A53,2)=6,"Samedi",IF(WEEKDAY(A53,2)=7,"Dimanche","Semaine")))</f>
        <v>0</v>
      </c>
      <c r="C53" s="8"/>
      <c r="D53" s="8"/>
      <c r="E53" s="11">
        <f>IF(AND(C53&lt;&gt;"",C53=C52),"Ligne 1 : même médecin deux jours de suite. ","")&amp;IF(AND(D53&lt;&gt;"",D53=D52),"Ligne 2 : même médecin deux jours de suite. ","")&amp;IF(AND(C53&lt;&gt;"",C53=D53),"Même médecin sur les deux lignes. ","")&amp;IF(AND(C53&lt;&gt;"",COUNTIFS(AbsMed,C53,AbsDu,"&lt;="&amp;A53,AbsAu,"&gt;="&amp;A53)&gt;0),C53&amp;" absent. ","")&amp;IF(AND(D53&lt;&gt;"",COUNTIFS(AbsMed,D53,AbsDu,"&lt;="&amp;A53,AbsAu,"&gt;="&amp;A53)&gt;0),D53&amp;" absent. ","")</f>
        <v>0</v>
      </c>
    </row>
    <row r="54" spans="1:5">
      <c r="A54" s="10">
        <f>Debut+52</f>
        <v>2027-02-22 00:00:00</v>
      </c>
      <c r="B54" s="6">
        <f>IF(COUNTIF(Feries,A54)&gt;0,"Férié",IF(WEEKDAY(A54,2)=6,"Samedi",IF(WEEKDAY(A54,2)=7,"Dimanche","Semaine")))</f>
        <v>0</v>
      </c>
      <c r="C54" s="8"/>
      <c r="D54" s="8"/>
      <c r="E54" s="11">
        <f>IF(AND(C54&lt;&gt;"",C54=C53),"Ligne 1 : même médecin deux jours de suite. ","")&amp;IF(AND(D54&lt;&gt;"",D54=D53),"Ligne 2 : même médecin deux jours de suite. ","")&amp;IF(AND(C54&lt;&gt;"",C54=D54),"Même médecin sur les deux lignes. ","")&amp;IF(AND(C54&lt;&gt;"",COUNTIFS(AbsMed,C54,AbsDu,"&lt;="&amp;A54,AbsAu,"&gt;="&amp;A54)&gt;0),C54&amp;" absent. ","")&amp;IF(AND(D54&lt;&gt;"",COUNTIFS(AbsMed,D54,AbsDu,"&lt;="&amp;A54,AbsAu,"&gt;="&amp;A54)&gt;0),D54&amp;" absent. ","")</f>
        <v>0</v>
      </c>
    </row>
    <row r="55" spans="1:5">
      <c r="A55" s="10">
        <f>Debut+53</f>
        <v>2027-02-23 00:00:00</v>
      </c>
      <c r="B55" s="6">
        <f>IF(COUNTIF(Feries,A55)&gt;0,"Férié",IF(WEEKDAY(A55,2)=6,"Samedi",IF(WEEKDAY(A55,2)=7,"Dimanche","Semaine")))</f>
        <v>0</v>
      </c>
      <c r="C55" s="8"/>
      <c r="D55" s="8"/>
      <c r="E55" s="11">
        <f>IF(AND(C55&lt;&gt;"",C55=C54),"Ligne 1 : même médecin deux jours de suite. ","")&amp;IF(AND(D55&lt;&gt;"",D55=D54),"Ligne 2 : même médecin deux jours de suite. ","")&amp;IF(AND(C55&lt;&gt;"",C55=D55),"Même médecin sur les deux lignes. ","")&amp;IF(AND(C55&lt;&gt;"",COUNTIFS(AbsMed,C55,AbsDu,"&lt;="&amp;A55,AbsAu,"&gt;="&amp;A55)&gt;0),C55&amp;" absent. ","")&amp;IF(AND(D55&lt;&gt;"",COUNTIFS(AbsMed,D55,AbsDu,"&lt;="&amp;A55,AbsAu,"&gt;="&amp;A55)&gt;0),D55&amp;" absent. ","")</f>
        <v>0</v>
      </c>
    </row>
    <row r="56" spans="1:5">
      <c r="A56" s="10">
        <f>Debut+54</f>
        <v>2027-02-24 00:00:00</v>
      </c>
      <c r="B56" s="6">
        <f>IF(COUNTIF(Feries,A56)&gt;0,"Férié",IF(WEEKDAY(A56,2)=6,"Samedi",IF(WEEKDAY(A56,2)=7,"Dimanche","Semaine")))</f>
        <v>0</v>
      </c>
      <c r="C56" s="8"/>
      <c r="D56" s="8"/>
      <c r="E56" s="11">
        <f>IF(AND(C56&lt;&gt;"",C56=C55),"Ligne 1 : même médecin deux jours de suite. ","")&amp;IF(AND(D56&lt;&gt;"",D56=D55),"Ligne 2 : même médecin deux jours de suite. ","")&amp;IF(AND(C56&lt;&gt;"",C56=D56),"Même médecin sur les deux lignes. ","")&amp;IF(AND(C56&lt;&gt;"",COUNTIFS(AbsMed,C56,AbsDu,"&lt;="&amp;A56,AbsAu,"&gt;="&amp;A56)&gt;0),C56&amp;" absent. ","")&amp;IF(AND(D56&lt;&gt;"",COUNTIFS(AbsMed,D56,AbsDu,"&lt;="&amp;A56,AbsAu,"&gt;="&amp;A56)&gt;0),D56&amp;" absent. ","")</f>
        <v>0</v>
      </c>
    </row>
    <row r="57" spans="1:5">
      <c r="A57" s="10">
        <f>Debut+55</f>
        <v>2027-02-25 00:00:00</v>
      </c>
      <c r="B57" s="6">
        <f>IF(COUNTIF(Feries,A57)&gt;0,"Férié",IF(WEEKDAY(A57,2)=6,"Samedi",IF(WEEKDAY(A57,2)=7,"Dimanche","Semaine")))</f>
        <v>0</v>
      </c>
      <c r="C57" s="8"/>
      <c r="D57" s="8"/>
      <c r="E57" s="11">
        <f>IF(AND(C57&lt;&gt;"",C57=C56),"Ligne 1 : même médecin deux jours de suite. ","")&amp;IF(AND(D57&lt;&gt;"",D57=D56),"Ligne 2 : même médecin deux jours de suite. ","")&amp;IF(AND(C57&lt;&gt;"",C57=D57),"Même médecin sur les deux lignes. ","")&amp;IF(AND(C57&lt;&gt;"",COUNTIFS(AbsMed,C57,AbsDu,"&lt;="&amp;A57,AbsAu,"&gt;="&amp;A57)&gt;0),C57&amp;" absent. ","")&amp;IF(AND(D57&lt;&gt;"",COUNTIFS(AbsMed,D57,AbsDu,"&lt;="&amp;A57,AbsAu,"&gt;="&amp;A57)&gt;0),D57&amp;" absent. ","")</f>
        <v>0</v>
      </c>
    </row>
    <row r="58" spans="1:5">
      <c r="A58" s="10">
        <f>Debut+56</f>
        <v>2027-02-26 00:00:00</v>
      </c>
      <c r="B58" s="6">
        <f>IF(COUNTIF(Feries,A58)&gt;0,"Férié",IF(WEEKDAY(A58,2)=6,"Samedi",IF(WEEKDAY(A58,2)=7,"Dimanche","Semaine")))</f>
        <v>0</v>
      </c>
      <c r="C58" s="8"/>
      <c r="D58" s="8"/>
      <c r="E58" s="11">
        <f>IF(AND(C58&lt;&gt;"",C58=C57),"Ligne 1 : même médecin deux jours de suite. ","")&amp;IF(AND(D58&lt;&gt;"",D58=D57),"Ligne 2 : même médecin deux jours de suite. ","")&amp;IF(AND(C58&lt;&gt;"",C58=D58),"Même médecin sur les deux lignes. ","")&amp;IF(AND(C58&lt;&gt;"",COUNTIFS(AbsMed,C58,AbsDu,"&lt;="&amp;A58,AbsAu,"&gt;="&amp;A58)&gt;0),C58&amp;" absent. ","")&amp;IF(AND(D58&lt;&gt;"",COUNTIFS(AbsMed,D58,AbsDu,"&lt;="&amp;A58,AbsAu,"&gt;="&amp;A58)&gt;0),D58&amp;" absent. ","")</f>
        <v>0</v>
      </c>
    </row>
    <row r="59" spans="1:5">
      <c r="A59" s="10">
        <f>Debut+57</f>
        <v>2027-02-27 00:00:00</v>
      </c>
      <c r="B59" s="6">
        <f>IF(COUNTIF(Feries,A59)&gt;0,"Férié",IF(WEEKDAY(A59,2)=6,"Samedi",IF(WEEKDAY(A59,2)=7,"Dimanche","Semaine")))</f>
        <v>0</v>
      </c>
      <c r="C59" s="8"/>
      <c r="D59" s="8"/>
      <c r="E59" s="11">
        <f>IF(AND(C59&lt;&gt;"",C59=C58),"Ligne 1 : même médecin deux jours de suite. ","")&amp;IF(AND(D59&lt;&gt;"",D59=D58),"Ligne 2 : même médecin deux jours de suite. ","")&amp;IF(AND(C59&lt;&gt;"",C59=D59),"Même médecin sur les deux lignes. ","")&amp;IF(AND(C59&lt;&gt;"",COUNTIFS(AbsMed,C59,AbsDu,"&lt;="&amp;A59,AbsAu,"&gt;="&amp;A59)&gt;0),C59&amp;" absent. ","")&amp;IF(AND(D59&lt;&gt;"",COUNTIFS(AbsMed,D59,AbsDu,"&lt;="&amp;A59,AbsAu,"&gt;="&amp;A59)&gt;0),D59&amp;" absent. ","")</f>
        <v>0</v>
      </c>
    </row>
    <row r="60" spans="1:5">
      <c r="A60" s="10">
        <f>Debut+58</f>
        <v>2027-02-28 00:00:00</v>
      </c>
      <c r="B60" s="6">
        <f>IF(COUNTIF(Feries,A60)&gt;0,"Férié",IF(WEEKDAY(A60,2)=6,"Samedi",IF(WEEKDAY(A60,2)=7,"Dimanche","Semaine")))</f>
        <v>0</v>
      </c>
      <c r="C60" s="8"/>
      <c r="D60" s="8"/>
      <c r="E60" s="11">
        <f>IF(AND(C60&lt;&gt;"",C60=C59),"Ligne 1 : même médecin deux jours de suite. ","")&amp;IF(AND(D60&lt;&gt;"",D60=D59),"Ligne 2 : même médecin deux jours de suite. ","")&amp;IF(AND(C60&lt;&gt;"",C60=D60),"Même médecin sur les deux lignes. ","")&amp;IF(AND(C60&lt;&gt;"",COUNTIFS(AbsMed,C60,AbsDu,"&lt;="&amp;A60,AbsAu,"&gt;="&amp;A60)&gt;0),C60&amp;" absent. ","")&amp;IF(AND(D60&lt;&gt;"",COUNTIFS(AbsMed,D60,AbsDu,"&lt;="&amp;A60,AbsAu,"&gt;="&amp;A60)&gt;0),D60&amp;" absent. ","")</f>
        <v>0</v>
      </c>
    </row>
    <row r="61" spans="1:5">
      <c r="A61" s="10">
        <f>Debut+59</f>
        <v>2027-03-01 00:00:00</v>
      </c>
      <c r="B61" s="6">
        <f>IF(COUNTIF(Feries,A61)&gt;0,"Férié",IF(WEEKDAY(A61,2)=6,"Samedi",IF(WEEKDAY(A61,2)=7,"Dimanche","Semaine")))</f>
        <v>0</v>
      </c>
      <c r="C61" s="8"/>
      <c r="D61" s="8"/>
      <c r="E61" s="11">
        <f>IF(AND(C61&lt;&gt;"",C61=C60),"Ligne 1 : même médecin deux jours de suite. ","")&amp;IF(AND(D61&lt;&gt;"",D61=D60),"Ligne 2 : même médecin deux jours de suite. ","")&amp;IF(AND(C61&lt;&gt;"",C61=D61),"Même médecin sur les deux lignes. ","")&amp;IF(AND(C61&lt;&gt;"",COUNTIFS(AbsMed,C61,AbsDu,"&lt;="&amp;A61,AbsAu,"&gt;="&amp;A61)&gt;0),C61&amp;" absent. ","")&amp;IF(AND(D61&lt;&gt;"",COUNTIFS(AbsMed,D61,AbsDu,"&lt;="&amp;A61,AbsAu,"&gt;="&amp;A61)&gt;0),D61&amp;" absent. ","")</f>
        <v>0</v>
      </c>
    </row>
    <row r="62" spans="1:5">
      <c r="A62" s="10">
        <f>Debut+60</f>
        <v>2027-03-02 00:00:00</v>
      </c>
      <c r="B62" s="6">
        <f>IF(COUNTIF(Feries,A62)&gt;0,"Férié",IF(WEEKDAY(A62,2)=6,"Samedi",IF(WEEKDAY(A62,2)=7,"Dimanche","Semaine")))</f>
        <v>0</v>
      </c>
      <c r="C62" s="8"/>
      <c r="D62" s="8"/>
      <c r="E62" s="11">
        <f>IF(AND(C62&lt;&gt;"",C62=C61),"Ligne 1 : même médecin deux jours de suite. ","")&amp;IF(AND(D62&lt;&gt;"",D62=D61),"Ligne 2 : même médecin deux jours de suite. ","")&amp;IF(AND(C62&lt;&gt;"",C62=D62),"Même médecin sur les deux lignes. ","")&amp;IF(AND(C62&lt;&gt;"",COUNTIFS(AbsMed,C62,AbsDu,"&lt;="&amp;A62,AbsAu,"&gt;="&amp;A62)&gt;0),C62&amp;" absent. ","")&amp;IF(AND(D62&lt;&gt;"",COUNTIFS(AbsMed,D62,AbsDu,"&lt;="&amp;A62,AbsAu,"&gt;="&amp;A62)&gt;0),D62&amp;" absent. ","")</f>
        <v>0</v>
      </c>
    </row>
    <row r="63" spans="1:5">
      <c r="A63" s="10">
        <f>Debut+61</f>
        <v>2027-03-03 00:00:00</v>
      </c>
      <c r="B63" s="6">
        <f>IF(COUNTIF(Feries,A63)&gt;0,"Férié",IF(WEEKDAY(A63,2)=6,"Samedi",IF(WEEKDAY(A63,2)=7,"Dimanche","Semaine")))</f>
        <v>0</v>
      </c>
      <c r="C63" s="8"/>
      <c r="D63" s="8"/>
      <c r="E63" s="11">
        <f>IF(AND(C63&lt;&gt;"",C63=C62),"Ligne 1 : même médecin deux jours de suite. ","")&amp;IF(AND(D63&lt;&gt;"",D63=D62),"Ligne 2 : même médecin deux jours de suite. ","")&amp;IF(AND(C63&lt;&gt;"",C63=D63),"Même médecin sur les deux lignes. ","")&amp;IF(AND(C63&lt;&gt;"",COUNTIFS(AbsMed,C63,AbsDu,"&lt;="&amp;A63,AbsAu,"&gt;="&amp;A63)&gt;0),C63&amp;" absent. ","")&amp;IF(AND(D63&lt;&gt;"",COUNTIFS(AbsMed,D63,AbsDu,"&lt;="&amp;A63,AbsAu,"&gt;="&amp;A63)&gt;0),D63&amp;" absent. ","")</f>
        <v>0</v>
      </c>
    </row>
    <row r="64" spans="1:5">
      <c r="A64" s="10">
        <f>Debut+62</f>
        <v>2027-03-04 00:00:00</v>
      </c>
      <c r="B64" s="6">
        <f>IF(COUNTIF(Feries,A64)&gt;0,"Férié",IF(WEEKDAY(A64,2)=6,"Samedi",IF(WEEKDAY(A64,2)=7,"Dimanche","Semaine")))</f>
        <v>0</v>
      </c>
      <c r="C64" s="8"/>
      <c r="D64" s="8"/>
      <c r="E64" s="11">
        <f>IF(AND(C64&lt;&gt;"",C64=C63),"Ligne 1 : même médecin deux jours de suite. ","")&amp;IF(AND(D64&lt;&gt;"",D64=D63),"Ligne 2 : même médecin deux jours de suite. ","")&amp;IF(AND(C64&lt;&gt;"",C64=D64),"Même médecin sur les deux lignes. ","")&amp;IF(AND(C64&lt;&gt;"",COUNTIFS(AbsMed,C64,AbsDu,"&lt;="&amp;A64,AbsAu,"&gt;="&amp;A64)&gt;0),C64&amp;" absent. ","")&amp;IF(AND(D64&lt;&gt;"",COUNTIFS(AbsMed,D64,AbsDu,"&lt;="&amp;A64,AbsAu,"&gt;="&amp;A64)&gt;0),D64&amp;" absent. ","")</f>
        <v>0</v>
      </c>
    </row>
    <row r="65" spans="1:5">
      <c r="A65" s="10">
        <f>Debut+63</f>
        <v>2027-03-05 00:00:00</v>
      </c>
      <c r="B65" s="6">
        <f>IF(COUNTIF(Feries,A65)&gt;0,"Férié",IF(WEEKDAY(A65,2)=6,"Samedi",IF(WEEKDAY(A65,2)=7,"Dimanche","Semaine")))</f>
        <v>0</v>
      </c>
      <c r="C65" s="8"/>
      <c r="D65" s="8"/>
      <c r="E65" s="11">
        <f>IF(AND(C65&lt;&gt;"",C65=C64),"Ligne 1 : même médecin deux jours de suite. ","")&amp;IF(AND(D65&lt;&gt;"",D65=D64),"Ligne 2 : même médecin deux jours de suite. ","")&amp;IF(AND(C65&lt;&gt;"",C65=D65),"Même médecin sur les deux lignes. ","")&amp;IF(AND(C65&lt;&gt;"",COUNTIFS(AbsMed,C65,AbsDu,"&lt;="&amp;A65,AbsAu,"&gt;="&amp;A65)&gt;0),C65&amp;" absent. ","")&amp;IF(AND(D65&lt;&gt;"",COUNTIFS(AbsMed,D65,AbsDu,"&lt;="&amp;A65,AbsAu,"&gt;="&amp;A65)&gt;0),D65&amp;" absent. ","")</f>
        <v>0</v>
      </c>
    </row>
    <row r="66" spans="1:5">
      <c r="A66" s="10">
        <f>Debut+64</f>
        <v>2027-03-06 00:00:00</v>
      </c>
      <c r="B66" s="6">
        <f>IF(COUNTIF(Feries,A66)&gt;0,"Férié",IF(WEEKDAY(A66,2)=6,"Samedi",IF(WEEKDAY(A66,2)=7,"Dimanche","Semaine")))</f>
        <v>0</v>
      </c>
      <c r="C66" s="8"/>
      <c r="D66" s="8"/>
      <c r="E66" s="11">
        <f>IF(AND(C66&lt;&gt;"",C66=C65),"Ligne 1 : même médecin deux jours de suite. ","")&amp;IF(AND(D66&lt;&gt;"",D66=D65),"Ligne 2 : même médecin deux jours de suite. ","")&amp;IF(AND(C66&lt;&gt;"",C66=D66),"Même médecin sur les deux lignes. ","")&amp;IF(AND(C66&lt;&gt;"",COUNTIFS(AbsMed,C66,AbsDu,"&lt;="&amp;A66,AbsAu,"&gt;="&amp;A66)&gt;0),C66&amp;" absent. ","")&amp;IF(AND(D66&lt;&gt;"",COUNTIFS(AbsMed,D66,AbsDu,"&lt;="&amp;A66,AbsAu,"&gt;="&amp;A66)&gt;0),D66&amp;" absent. ","")</f>
        <v>0</v>
      </c>
    </row>
    <row r="67" spans="1:5">
      <c r="A67" s="10">
        <f>Debut+65</f>
        <v>2027-03-07 00:00:00</v>
      </c>
      <c r="B67" s="6">
        <f>IF(COUNTIF(Feries,A67)&gt;0,"Férié",IF(WEEKDAY(A67,2)=6,"Samedi",IF(WEEKDAY(A67,2)=7,"Dimanche","Semaine")))</f>
        <v>0</v>
      </c>
      <c r="C67" s="8"/>
      <c r="D67" s="8"/>
      <c r="E67" s="11">
        <f>IF(AND(C67&lt;&gt;"",C67=C66),"Ligne 1 : même médecin deux jours de suite. ","")&amp;IF(AND(D67&lt;&gt;"",D67=D66),"Ligne 2 : même médecin deux jours de suite. ","")&amp;IF(AND(C67&lt;&gt;"",C67=D67),"Même médecin sur les deux lignes. ","")&amp;IF(AND(C67&lt;&gt;"",COUNTIFS(AbsMed,C67,AbsDu,"&lt;="&amp;A67,AbsAu,"&gt;="&amp;A67)&gt;0),C67&amp;" absent. ","")&amp;IF(AND(D67&lt;&gt;"",COUNTIFS(AbsMed,D67,AbsDu,"&lt;="&amp;A67,AbsAu,"&gt;="&amp;A67)&gt;0),D67&amp;" absent. ","")</f>
        <v>0</v>
      </c>
    </row>
    <row r="68" spans="1:5">
      <c r="A68" s="10">
        <f>Debut+66</f>
        <v>2027-03-08 00:00:00</v>
      </c>
      <c r="B68" s="6">
        <f>IF(COUNTIF(Feries,A68)&gt;0,"Férié",IF(WEEKDAY(A68,2)=6,"Samedi",IF(WEEKDAY(A68,2)=7,"Dimanche","Semaine")))</f>
        <v>0</v>
      </c>
      <c r="C68" s="8"/>
      <c r="D68" s="8"/>
      <c r="E68" s="11">
        <f>IF(AND(C68&lt;&gt;"",C68=C67),"Ligne 1 : même médecin deux jours de suite. ","")&amp;IF(AND(D68&lt;&gt;"",D68=D67),"Ligne 2 : même médecin deux jours de suite. ","")&amp;IF(AND(C68&lt;&gt;"",C68=D68),"Même médecin sur les deux lignes. ","")&amp;IF(AND(C68&lt;&gt;"",COUNTIFS(AbsMed,C68,AbsDu,"&lt;="&amp;A68,AbsAu,"&gt;="&amp;A68)&gt;0),C68&amp;" absent. ","")&amp;IF(AND(D68&lt;&gt;"",COUNTIFS(AbsMed,D68,AbsDu,"&lt;="&amp;A68,AbsAu,"&gt;="&amp;A68)&gt;0),D68&amp;" absent. ","")</f>
        <v>0</v>
      </c>
    </row>
    <row r="69" spans="1:5">
      <c r="A69" s="10">
        <f>Debut+67</f>
        <v>2027-03-09 00:00:00</v>
      </c>
      <c r="B69" s="6">
        <f>IF(COUNTIF(Feries,A69)&gt;0,"Férié",IF(WEEKDAY(A69,2)=6,"Samedi",IF(WEEKDAY(A69,2)=7,"Dimanche","Semaine")))</f>
        <v>0</v>
      </c>
      <c r="C69" s="8"/>
      <c r="D69" s="8"/>
      <c r="E69" s="11">
        <f>IF(AND(C69&lt;&gt;"",C69=C68),"Ligne 1 : même médecin deux jours de suite. ","")&amp;IF(AND(D69&lt;&gt;"",D69=D68),"Ligne 2 : même médecin deux jours de suite. ","")&amp;IF(AND(C69&lt;&gt;"",C69=D69),"Même médecin sur les deux lignes. ","")&amp;IF(AND(C69&lt;&gt;"",COUNTIFS(AbsMed,C69,AbsDu,"&lt;="&amp;A69,AbsAu,"&gt;="&amp;A69)&gt;0),C69&amp;" absent. ","")&amp;IF(AND(D69&lt;&gt;"",COUNTIFS(AbsMed,D69,AbsDu,"&lt;="&amp;A69,AbsAu,"&gt;="&amp;A69)&gt;0),D69&amp;" absent. ","")</f>
        <v>0</v>
      </c>
    </row>
    <row r="70" spans="1:5">
      <c r="A70" s="10">
        <f>Debut+68</f>
        <v>2027-03-10 00:00:00</v>
      </c>
      <c r="B70" s="6">
        <f>IF(COUNTIF(Feries,A70)&gt;0,"Férié",IF(WEEKDAY(A70,2)=6,"Samedi",IF(WEEKDAY(A70,2)=7,"Dimanche","Semaine")))</f>
        <v>0</v>
      </c>
      <c r="C70" s="8"/>
      <c r="D70" s="8"/>
      <c r="E70" s="11">
        <f>IF(AND(C70&lt;&gt;"",C70=C69),"Ligne 1 : même médecin deux jours de suite. ","")&amp;IF(AND(D70&lt;&gt;"",D70=D69),"Ligne 2 : même médecin deux jours de suite. ","")&amp;IF(AND(C70&lt;&gt;"",C70=D70),"Même médecin sur les deux lignes. ","")&amp;IF(AND(C70&lt;&gt;"",COUNTIFS(AbsMed,C70,AbsDu,"&lt;="&amp;A70,AbsAu,"&gt;="&amp;A70)&gt;0),C70&amp;" absent. ","")&amp;IF(AND(D70&lt;&gt;"",COUNTIFS(AbsMed,D70,AbsDu,"&lt;="&amp;A70,AbsAu,"&gt;="&amp;A70)&gt;0),D70&amp;" absent. ","")</f>
        <v>0</v>
      </c>
    </row>
    <row r="71" spans="1:5">
      <c r="A71" s="10">
        <f>Debut+69</f>
        <v>2027-03-11 00:00:00</v>
      </c>
      <c r="B71" s="6">
        <f>IF(COUNTIF(Feries,A71)&gt;0,"Férié",IF(WEEKDAY(A71,2)=6,"Samedi",IF(WEEKDAY(A71,2)=7,"Dimanche","Semaine")))</f>
        <v>0</v>
      </c>
      <c r="C71" s="8"/>
      <c r="D71" s="8"/>
      <c r="E71" s="11">
        <f>IF(AND(C71&lt;&gt;"",C71=C70),"Ligne 1 : même médecin deux jours de suite. ","")&amp;IF(AND(D71&lt;&gt;"",D71=D70),"Ligne 2 : même médecin deux jours de suite. ","")&amp;IF(AND(C71&lt;&gt;"",C71=D71),"Même médecin sur les deux lignes. ","")&amp;IF(AND(C71&lt;&gt;"",COUNTIFS(AbsMed,C71,AbsDu,"&lt;="&amp;A71,AbsAu,"&gt;="&amp;A71)&gt;0),C71&amp;" absent. ","")&amp;IF(AND(D71&lt;&gt;"",COUNTIFS(AbsMed,D71,AbsDu,"&lt;="&amp;A71,AbsAu,"&gt;="&amp;A71)&gt;0),D71&amp;" absent. ","")</f>
        <v>0</v>
      </c>
    </row>
    <row r="72" spans="1:5">
      <c r="A72" s="10">
        <f>Debut+70</f>
        <v>2027-03-12 00:00:00</v>
      </c>
      <c r="B72" s="6">
        <f>IF(COUNTIF(Feries,A72)&gt;0,"Férié",IF(WEEKDAY(A72,2)=6,"Samedi",IF(WEEKDAY(A72,2)=7,"Dimanche","Semaine")))</f>
        <v>0</v>
      </c>
      <c r="C72" s="8"/>
      <c r="D72" s="8"/>
      <c r="E72" s="11">
        <f>IF(AND(C72&lt;&gt;"",C72=C71),"Ligne 1 : même médecin deux jours de suite. ","")&amp;IF(AND(D72&lt;&gt;"",D72=D71),"Ligne 2 : même médecin deux jours de suite. ","")&amp;IF(AND(C72&lt;&gt;"",C72=D72),"Même médecin sur les deux lignes. ","")&amp;IF(AND(C72&lt;&gt;"",COUNTIFS(AbsMed,C72,AbsDu,"&lt;="&amp;A72,AbsAu,"&gt;="&amp;A72)&gt;0),C72&amp;" absent. ","")&amp;IF(AND(D72&lt;&gt;"",COUNTIFS(AbsMed,D72,AbsDu,"&lt;="&amp;A72,AbsAu,"&gt;="&amp;A72)&gt;0),D72&amp;" absent. ","")</f>
        <v>0</v>
      </c>
    </row>
    <row r="73" spans="1:5">
      <c r="A73" s="10">
        <f>Debut+71</f>
        <v>2027-03-13 00:00:00</v>
      </c>
      <c r="B73" s="6">
        <f>IF(COUNTIF(Feries,A73)&gt;0,"Férié",IF(WEEKDAY(A73,2)=6,"Samedi",IF(WEEKDAY(A73,2)=7,"Dimanche","Semaine")))</f>
        <v>0</v>
      </c>
      <c r="C73" s="8"/>
      <c r="D73" s="8"/>
      <c r="E73" s="11">
        <f>IF(AND(C73&lt;&gt;"",C73=C72),"Ligne 1 : même médecin deux jours de suite. ","")&amp;IF(AND(D73&lt;&gt;"",D73=D72),"Ligne 2 : même médecin deux jours de suite. ","")&amp;IF(AND(C73&lt;&gt;"",C73=D73),"Même médecin sur les deux lignes. ","")&amp;IF(AND(C73&lt;&gt;"",COUNTIFS(AbsMed,C73,AbsDu,"&lt;="&amp;A73,AbsAu,"&gt;="&amp;A73)&gt;0),C73&amp;" absent. ","")&amp;IF(AND(D73&lt;&gt;"",COUNTIFS(AbsMed,D73,AbsDu,"&lt;="&amp;A73,AbsAu,"&gt;="&amp;A73)&gt;0),D73&amp;" absent. ","")</f>
        <v>0</v>
      </c>
    </row>
    <row r="74" spans="1:5">
      <c r="A74" s="10">
        <f>Debut+72</f>
        <v>2027-03-14 00:00:00</v>
      </c>
      <c r="B74" s="6">
        <f>IF(COUNTIF(Feries,A74)&gt;0,"Férié",IF(WEEKDAY(A74,2)=6,"Samedi",IF(WEEKDAY(A74,2)=7,"Dimanche","Semaine")))</f>
        <v>0</v>
      </c>
      <c r="C74" s="8"/>
      <c r="D74" s="8"/>
      <c r="E74" s="11">
        <f>IF(AND(C74&lt;&gt;"",C74=C73),"Ligne 1 : même médecin deux jours de suite. ","")&amp;IF(AND(D74&lt;&gt;"",D74=D73),"Ligne 2 : même médecin deux jours de suite. ","")&amp;IF(AND(C74&lt;&gt;"",C74=D74),"Même médecin sur les deux lignes. ","")&amp;IF(AND(C74&lt;&gt;"",COUNTIFS(AbsMed,C74,AbsDu,"&lt;="&amp;A74,AbsAu,"&gt;="&amp;A74)&gt;0),C74&amp;" absent. ","")&amp;IF(AND(D74&lt;&gt;"",COUNTIFS(AbsMed,D74,AbsDu,"&lt;="&amp;A74,AbsAu,"&gt;="&amp;A74)&gt;0),D74&amp;" absent. ","")</f>
        <v>0</v>
      </c>
    </row>
    <row r="75" spans="1:5">
      <c r="A75" s="10">
        <f>Debut+73</f>
        <v>2027-03-15 00:00:00</v>
      </c>
      <c r="B75" s="6">
        <f>IF(COUNTIF(Feries,A75)&gt;0,"Férié",IF(WEEKDAY(A75,2)=6,"Samedi",IF(WEEKDAY(A75,2)=7,"Dimanche","Semaine")))</f>
        <v>0</v>
      </c>
      <c r="C75" s="8"/>
      <c r="D75" s="8"/>
      <c r="E75" s="11">
        <f>IF(AND(C75&lt;&gt;"",C75=C74),"Ligne 1 : même médecin deux jours de suite. ","")&amp;IF(AND(D75&lt;&gt;"",D75=D74),"Ligne 2 : même médecin deux jours de suite. ","")&amp;IF(AND(C75&lt;&gt;"",C75=D75),"Même médecin sur les deux lignes. ","")&amp;IF(AND(C75&lt;&gt;"",COUNTIFS(AbsMed,C75,AbsDu,"&lt;="&amp;A75,AbsAu,"&gt;="&amp;A75)&gt;0),C75&amp;" absent. ","")&amp;IF(AND(D75&lt;&gt;"",COUNTIFS(AbsMed,D75,AbsDu,"&lt;="&amp;A75,AbsAu,"&gt;="&amp;A75)&gt;0),D75&amp;" absent. ","")</f>
        <v>0</v>
      </c>
    </row>
    <row r="76" spans="1:5">
      <c r="A76" s="10">
        <f>Debut+74</f>
        <v>2027-03-16 00:00:00</v>
      </c>
      <c r="B76" s="6">
        <f>IF(COUNTIF(Feries,A76)&gt;0,"Férié",IF(WEEKDAY(A76,2)=6,"Samedi",IF(WEEKDAY(A76,2)=7,"Dimanche","Semaine")))</f>
        <v>0</v>
      </c>
      <c r="C76" s="8"/>
      <c r="D76" s="8"/>
      <c r="E76" s="11">
        <f>IF(AND(C76&lt;&gt;"",C76=C75),"Ligne 1 : même médecin deux jours de suite. ","")&amp;IF(AND(D76&lt;&gt;"",D76=D75),"Ligne 2 : même médecin deux jours de suite. ","")&amp;IF(AND(C76&lt;&gt;"",C76=D76),"Même médecin sur les deux lignes. ","")&amp;IF(AND(C76&lt;&gt;"",COUNTIFS(AbsMed,C76,AbsDu,"&lt;="&amp;A76,AbsAu,"&gt;="&amp;A76)&gt;0),C76&amp;" absent. ","")&amp;IF(AND(D76&lt;&gt;"",COUNTIFS(AbsMed,D76,AbsDu,"&lt;="&amp;A76,AbsAu,"&gt;="&amp;A76)&gt;0),D76&amp;" absent. ","")</f>
        <v>0</v>
      </c>
    </row>
    <row r="77" spans="1:5">
      <c r="A77" s="10">
        <f>Debut+75</f>
        <v>2027-03-17 00:00:00</v>
      </c>
      <c r="B77" s="6">
        <f>IF(COUNTIF(Feries,A77)&gt;0,"Férié",IF(WEEKDAY(A77,2)=6,"Samedi",IF(WEEKDAY(A77,2)=7,"Dimanche","Semaine")))</f>
        <v>0</v>
      </c>
      <c r="C77" s="8"/>
      <c r="D77" s="8"/>
      <c r="E77" s="11">
        <f>IF(AND(C77&lt;&gt;"",C77=C76),"Ligne 1 : même médecin deux jours de suite. ","")&amp;IF(AND(D77&lt;&gt;"",D77=D76),"Ligne 2 : même médecin deux jours de suite. ","")&amp;IF(AND(C77&lt;&gt;"",C77=D77),"Même médecin sur les deux lignes. ","")&amp;IF(AND(C77&lt;&gt;"",COUNTIFS(AbsMed,C77,AbsDu,"&lt;="&amp;A77,AbsAu,"&gt;="&amp;A77)&gt;0),C77&amp;" absent. ","")&amp;IF(AND(D77&lt;&gt;"",COUNTIFS(AbsMed,D77,AbsDu,"&lt;="&amp;A77,AbsAu,"&gt;="&amp;A77)&gt;0),D77&amp;" absent. ","")</f>
        <v>0</v>
      </c>
    </row>
    <row r="78" spans="1:5">
      <c r="A78" s="10">
        <f>Debut+76</f>
        <v>2027-03-18 00:00:00</v>
      </c>
      <c r="B78" s="6">
        <f>IF(COUNTIF(Feries,A78)&gt;0,"Férié",IF(WEEKDAY(A78,2)=6,"Samedi",IF(WEEKDAY(A78,2)=7,"Dimanche","Semaine")))</f>
        <v>0</v>
      </c>
      <c r="C78" s="8"/>
      <c r="D78" s="8"/>
      <c r="E78" s="11">
        <f>IF(AND(C78&lt;&gt;"",C78=C77),"Ligne 1 : même médecin deux jours de suite. ","")&amp;IF(AND(D78&lt;&gt;"",D78=D77),"Ligne 2 : même médecin deux jours de suite. ","")&amp;IF(AND(C78&lt;&gt;"",C78=D78),"Même médecin sur les deux lignes. ","")&amp;IF(AND(C78&lt;&gt;"",COUNTIFS(AbsMed,C78,AbsDu,"&lt;="&amp;A78,AbsAu,"&gt;="&amp;A78)&gt;0),C78&amp;" absent. ","")&amp;IF(AND(D78&lt;&gt;"",COUNTIFS(AbsMed,D78,AbsDu,"&lt;="&amp;A78,AbsAu,"&gt;="&amp;A78)&gt;0),D78&amp;" absent. ","")</f>
        <v>0</v>
      </c>
    </row>
    <row r="79" spans="1:5">
      <c r="A79" s="10">
        <f>Debut+77</f>
        <v>2027-03-19 00:00:00</v>
      </c>
      <c r="B79" s="6">
        <f>IF(COUNTIF(Feries,A79)&gt;0,"Férié",IF(WEEKDAY(A79,2)=6,"Samedi",IF(WEEKDAY(A79,2)=7,"Dimanche","Semaine")))</f>
        <v>0</v>
      </c>
      <c r="C79" s="8"/>
      <c r="D79" s="8"/>
      <c r="E79" s="11">
        <f>IF(AND(C79&lt;&gt;"",C79=C78),"Ligne 1 : même médecin deux jours de suite. ","")&amp;IF(AND(D79&lt;&gt;"",D79=D78),"Ligne 2 : même médecin deux jours de suite. ","")&amp;IF(AND(C79&lt;&gt;"",C79=D79),"Même médecin sur les deux lignes. ","")&amp;IF(AND(C79&lt;&gt;"",COUNTIFS(AbsMed,C79,AbsDu,"&lt;="&amp;A79,AbsAu,"&gt;="&amp;A79)&gt;0),C79&amp;" absent. ","")&amp;IF(AND(D79&lt;&gt;"",COUNTIFS(AbsMed,D79,AbsDu,"&lt;="&amp;A79,AbsAu,"&gt;="&amp;A79)&gt;0),D79&amp;" absent. ","")</f>
        <v>0</v>
      </c>
    </row>
    <row r="80" spans="1:5">
      <c r="A80" s="10">
        <f>Debut+78</f>
        <v>2027-03-20 00:00:00</v>
      </c>
      <c r="B80" s="6">
        <f>IF(COUNTIF(Feries,A80)&gt;0,"Férié",IF(WEEKDAY(A80,2)=6,"Samedi",IF(WEEKDAY(A80,2)=7,"Dimanche","Semaine")))</f>
        <v>0</v>
      </c>
      <c r="C80" s="8"/>
      <c r="D80" s="8"/>
      <c r="E80" s="11">
        <f>IF(AND(C80&lt;&gt;"",C80=C79),"Ligne 1 : même médecin deux jours de suite. ","")&amp;IF(AND(D80&lt;&gt;"",D80=D79),"Ligne 2 : même médecin deux jours de suite. ","")&amp;IF(AND(C80&lt;&gt;"",C80=D80),"Même médecin sur les deux lignes. ","")&amp;IF(AND(C80&lt;&gt;"",COUNTIFS(AbsMed,C80,AbsDu,"&lt;="&amp;A80,AbsAu,"&gt;="&amp;A80)&gt;0),C80&amp;" absent. ","")&amp;IF(AND(D80&lt;&gt;"",COUNTIFS(AbsMed,D80,AbsDu,"&lt;="&amp;A80,AbsAu,"&gt;="&amp;A80)&gt;0),D80&amp;" absent. ","")</f>
        <v>0</v>
      </c>
    </row>
    <row r="81" spans="1:5">
      <c r="A81" s="10">
        <f>Debut+79</f>
        <v>2027-03-21 00:00:00</v>
      </c>
      <c r="B81" s="6">
        <f>IF(COUNTIF(Feries,A81)&gt;0,"Férié",IF(WEEKDAY(A81,2)=6,"Samedi",IF(WEEKDAY(A81,2)=7,"Dimanche","Semaine")))</f>
        <v>0</v>
      </c>
      <c r="C81" s="8"/>
      <c r="D81" s="8"/>
      <c r="E81" s="11">
        <f>IF(AND(C81&lt;&gt;"",C81=C80),"Ligne 1 : même médecin deux jours de suite. ","")&amp;IF(AND(D81&lt;&gt;"",D81=D80),"Ligne 2 : même médecin deux jours de suite. ","")&amp;IF(AND(C81&lt;&gt;"",C81=D81),"Même médecin sur les deux lignes. ","")&amp;IF(AND(C81&lt;&gt;"",COUNTIFS(AbsMed,C81,AbsDu,"&lt;="&amp;A81,AbsAu,"&gt;="&amp;A81)&gt;0),C81&amp;" absent. ","")&amp;IF(AND(D81&lt;&gt;"",COUNTIFS(AbsMed,D81,AbsDu,"&lt;="&amp;A81,AbsAu,"&gt;="&amp;A81)&gt;0),D81&amp;" absent. ","")</f>
        <v>0</v>
      </c>
    </row>
    <row r="82" spans="1:5">
      <c r="A82" s="10">
        <f>Debut+80</f>
        <v>2027-03-22 00:00:00</v>
      </c>
      <c r="B82" s="6">
        <f>IF(COUNTIF(Feries,A82)&gt;0,"Férié",IF(WEEKDAY(A82,2)=6,"Samedi",IF(WEEKDAY(A82,2)=7,"Dimanche","Semaine")))</f>
        <v>0</v>
      </c>
      <c r="C82" s="8"/>
      <c r="D82" s="8"/>
      <c r="E82" s="11">
        <f>IF(AND(C82&lt;&gt;"",C82=C81),"Ligne 1 : même médecin deux jours de suite. ","")&amp;IF(AND(D82&lt;&gt;"",D82=D81),"Ligne 2 : même médecin deux jours de suite. ","")&amp;IF(AND(C82&lt;&gt;"",C82=D82),"Même médecin sur les deux lignes. ","")&amp;IF(AND(C82&lt;&gt;"",COUNTIFS(AbsMed,C82,AbsDu,"&lt;="&amp;A82,AbsAu,"&gt;="&amp;A82)&gt;0),C82&amp;" absent. ","")&amp;IF(AND(D82&lt;&gt;"",COUNTIFS(AbsMed,D82,AbsDu,"&lt;="&amp;A82,AbsAu,"&gt;="&amp;A82)&gt;0),D82&amp;" absent. ","")</f>
        <v>0</v>
      </c>
    </row>
    <row r="83" spans="1:5">
      <c r="A83" s="10">
        <f>Debut+81</f>
        <v>2027-03-23 00:00:00</v>
      </c>
      <c r="B83" s="6">
        <f>IF(COUNTIF(Feries,A83)&gt;0,"Férié",IF(WEEKDAY(A83,2)=6,"Samedi",IF(WEEKDAY(A83,2)=7,"Dimanche","Semaine")))</f>
        <v>0</v>
      </c>
      <c r="C83" s="8"/>
      <c r="D83" s="8"/>
      <c r="E83" s="11">
        <f>IF(AND(C83&lt;&gt;"",C83=C82),"Ligne 1 : même médecin deux jours de suite. ","")&amp;IF(AND(D83&lt;&gt;"",D83=D82),"Ligne 2 : même médecin deux jours de suite. ","")&amp;IF(AND(C83&lt;&gt;"",C83=D83),"Même médecin sur les deux lignes. ","")&amp;IF(AND(C83&lt;&gt;"",COUNTIFS(AbsMed,C83,AbsDu,"&lt;="&amp;A83,AbsAu,"&gt;="&amp;A83)&gt;0),C83&amp;" absent. ","")&amp;IF(AND(D83&lt;&gt;"",COUNTIFS(AbsMed,D83,AbsDu,"&lt;="&amp;A83,AbsAu,"&gt;="&amp;A83)&gt;0),D83&amp;" absent. ","")</f>
        <v>0</v>
      </c>
    </row>
    <row r="84" spans="1:5">
      <c r="A84" s="10">
        <f>Debut+82</f>
        <v>2027-03-24 00:00:00</v>
      </c>
      <c r="B84" s="6">
        <f>IF(COUNTIF(Feries,A84)&gt;0,"Férié",IF(WEEKDAY(A84,2)=6,"Samedi",IF(WEEKDAY(A84,2)=7,"Dimanche","Semaine")))</f>
        <v>0</v>
      </c>
      <c r="C84" s="8"/>
      <c r="D84" s="8"/>
      <c r="E84" s="11">
        <f>IF(AND(C84&lt;&gt;"",C84=C83),"Ligne 1 : même médecin deux jours de suite. ","")&amp;IF(AND(D84&lt;&gt;"",D84=D83),"Ligne 2 : même médecin deux jours de suite. ","")&amp;IF(AND(C84&lt;&gt;"",C84=D84),"Même médecin sur les deux lignes. ","")&amp;IF(AND(C84&lt;&gt;"",COUNTIFS(AbsMed,C84,AbsDu,"&lt;="&amp;A84,AbsAu,"&gt;="&amp;A84)&gt;0),C84&amp;" absent. ","")&amp;IF(AND(D84&lt;&gt;"",COUNTIFS(AbsMed,D84,AbsDu,"&lt;="&amp;A84,AbsAu,"&gt;="&amp;A84)&gt;0),D84&amp;" absent. ","")</f>
        <v>0</v>
      </c>
    </row>
    <row r="85" spans="1:5">
      <c r="A85" s="10">
        <f>Debut+83</f>
        <v>2027-03-25 00:00:00</v>
      </c>
      <c r="B85" s="6">
        <f>IF(COUNTIF(Feries,A85)&gt;0,"Férié",IF(WEEKDAY(A85,2)=6,"Samedi",IF(WEEKDAY(A85,2)=7,"Dimanche","Semaine")))</f>
        <v>0</v>
      </c>
      <c r="C85" s="8"/>
      <c r="D85" s="8"/>
      <c r="E85" s="11">
        <f>IF(AND(C85&lt;&gt;"",C85=C84),"Ligne 1 : même médecin deux jours de suite. ","")&amp;IF(AND(D85&lt;&gt;"",D85=D84),"Ligne 2 : même médecin deux jours de suite. ","")&amp;IF(AND(C85&lt;&gt;"",C85=D85),"Même médecin sur les deux lignes. ","")&amp;IF(AND(C85&lt;&gt;"",COUNTIFS(AbsMed,C85,AbsDu,"&lt;="&amp;A85,AbsAu,"&gt;="&amp;A85)&gt;0),C85&amp;" absent. ","")&amp;IF(AND(D85&lt;&gt;"",COUNTIFS(AbsMed,D85,AbsDu,"&lt;="&amp;A85,AbsAu,"&gt;="&amp;A85)&gt;0),D85&amp;" absent. ","")</f>
        <v>0</v>
      </c>
    </row>
    <row r="86" spans="1:5">
      <c r="A86" s="10">
        <f>Debut+84</f>
        <v>2027-03-26 00:00:00</v>
      </c>
      <c r="B86" s="6">
        <f>IF(COUNTIF(Feries,A86)&gt;0,"Férié",IF(WEEKDAY(A86,2)=6,"Samedi",IF(WEEKDAY(A86,2)=7,"Dimanche","Semaine")))</f>
        <v>0</v>
      </c>
      <c r="C86" s="8"/>
      <c r="D86" s="8"/>
      <c r="E86" s="11">
        <f>IF(AND(C86&lt;&gt;"",C86=C85),"Ligne 1 : même médecin deux jours de suite. ","")&amp;IF(AND(D86&lt;&gt;"",D86=D85),"Ligne 2 : même médecin deux jours de suite. ","")&amp;IF(AND(C86&lt;&gt;"",C86=D86),"Même médecin sur les deux lignes. ","")&amp;IF(AND(C86&lt;&gt;"",COUNTIFS(AbsMed,C86,AbsDu,"&lt;="&amp;A86,AbsAu,"&gt;="&amp;A86)&gt;0),C86&amp;" absent. ","")&amp;IF(AND(D86&lt;&gt;"",COUNTIFS(AbsMed,D86,AbsDu,"&lt;="&amp;A86,AbsAu,"&gt;="&amp;A86)&gt;0),D86&amp;" absent. ","")</f>
        <v>0</v>
      </c>
    </row>
    <row r="87" spans="1:5">
      <c r="A87" s="10">
        <f>Debut+85</f>
        <v>2027-03-27 00:00:00</v>
      </c>
      <c r="B87" s="6">
        <f>IF(COUNTIF(Feries,A87)&gt;0,"Férié",IF(WEEKDAY(A87,2)=6,"Samedi",IF(WEEKDAY(A87,2)=7,"Dimanche","Semaine")))</f>
        <v>0</v>
      </c>
      <c r="C87" s="8"/>
      <c r="D87" s="8"/>
      <c r="E87" s="11">
        <f>IF(AND(C87&lt;&gt;"",C87=C86),"Ligne 1 : même médecin deux jours de suite. ","")&amp;IF(AND(D87&lt;&gt;"",D87=D86),"Ligne 2 : même médecin deux jours de suite. ","")&amp;IF(AND(C87&lt;&gt;"",C87=D87),"Même médecin sur les deux lignes. ","")&amp;IF(AND(C87&lt;&gt;"",COUNTIFS(AbsMed,C87,AbsDu,"&lt;="&amp;A87,AbsAu,"&gt;="&amp;A87)&gt;0),C87&amp;" absent. ","")&amp;IF(AND(D87&lt;&gt;"",COUNTIFS(AbsMed,D87,AbsDu,"&lt;="&amp;A87,AbsAu,"&gt;="&amp;A87)&gt;0),D87&amp;" absent. ","")</f>
        <v>0</v>
      </c>
    </row>
    <row r="88" spans="1:5">
      <c r="A88" s="10">
        <f>Debut+86</f>
        <v>2027-03-28 00:00:00</v>
      </c>
      <c r="B88" s="6">
        <f>IF(COUNTIF(Feries,A88)&gt;0,"Férié",IF(WEEKDAY(A88,2)=6,"Samedi",IF(WEEKDAY(A88,2)=7,"Dimanche","Semaine")))</f>
        <v>0</v>
      </c>
      <c r="C88" s="8"/>
      <c r="D88" s="8"/>
      <c r="E88" s="11">
        <f>IF(AND(C88&lt;&gt;"",C88=C87),"Ligne 1 : même médecin deux jours de suite. ","")&amp;IF(AND(D88&lt;&gt;"",D88=D87),"Ligne 2 : même médecin deux jours de suite. ","")&amp;IF(AND(C88&lt;&gt;"",C88=D88),"Même médecin sur les deux lignes. ","")&amp;IF(AND(C88&lt;&gt;"",COUNTIFS(AbsMed,C88,AbsDu,"&lt;="&amp;A88,AbsAu,"&gt;="&amp;A88)&gt;0),C88&amp;" absent. ","")&amp;IF(AND(D88&lt;&gt;"",COUNTIFS(AbsMed,D88,AbsDu,"&lt;="&amp;A88,AbsAu,"&gt;="&amp;A88)&gt;0),D88&amp;" absent. ","")</f>
        <v>0</v>
      </c>
    </row>
    <row r="89" spans="1:5">
      <c r="A89" s="10">
        <f>Debut+87</f>
        <v>2027-03-29 00:00:00</v>
      </c>
      <c r="B89" s="6">
        <f>IF(COUNTIF(Feries,A89)&gt;0,"Férié",IF(WEEKDAY(A89,2)=6,"Samedi",IF(WEEKDAY(A89,2)=7,"Dimanche","Semaine")))</f>
        <v>0</v>
      </c>
      <c r="C89" s="8"/>
      <c r="D89" s="8"/>
      <c r="E89" s="11">
        <f>IF(AND(C89&lt;&gt;"",C89=C88),"Ligne 1 : même médecin deux jours de suite. ","")&amp;IF(AND(D89&lt;&gt;"",D89=D88),"Ligne 2 : même médecin deux jours de suite. ","")&amp;IF(AND(C89&lt;&gt;"",C89=D89),"Même médecin sur les deux lignes. ","")&amp;IF(AND(C89&lt;&gt;"",COUNTIFS(AbsMed,C89,AbsDu,"&lt;="&amp;A89,AbsAu,"&gt;="&amp;A89)&gt;0),C89&amp;" absent. ","")&amp;IF(AND(D89&lt;&gt;"",COUNTIFS(AbsMed,D89,AbsDu,"&lt;="&amp;A89,AbsAu,"&gt;="&amp;A89)&gt;0),D89&amp;" absent. ","")</f>
        <v>0</v>
      </c>
    </row>
    <row r="90" spans="1:5">
      <c r="A90" s="10">
        <f>Debut+88</f>
        <v>2027-03-30 00:00:00</v>
      </c>
      <c r="B90" s="6">
        <f>IF(COUNTIF(Feries,A90)&gt;0,"Férié",IF(WEEKDAY(A90,2)=6,"Samedi",IF(WEEKDAY(A90,2)=7,"Dimanche","Semaine")))</f>
        <v>0</v>
      </c>
      <c r="C90" s="8"/>
      <c r="D90" s="8"/>
      <c r="E90" s="11">
        <f>IF(AND(C90&lt;&gt;"",C90=C89),"Ligne 1 : même médecin deux jours de suite. ","")&amp;IF(AND(D90&lt;&gt;"",D90=D89),"Ligne 2 : même médecin deux jours de suite. ","")&amp;IF(AND(C90&lt;&gt;"",C90=D90),"Même médecin sur les deux lignes. ","")&amp;IF(AND(C90&lt;&gt;"",COUNTIFS(AbsMed,C90,AbsDu,"&lt;="&amp;A90,AbsAu,"&gt;="&amp;A90)&gt;0),C90&amp;" absent. ","")&amp;IF(AND(D90&lt;&gt;"",COUNTIFS(AbsMed,D90,AbsDu,"&lt;="&amp;A90,AbsAu,"&gt;="&amp;A90)&gt;0),D90&amp;" absent. ","")</f>
        <v>0</v>
      </c>
    </row>
    <row r="91" spans="1:5">
      <c r="A91" s="10">
        <f>Debut+89</f>
        <v>2027-03-31 00:00:00</v>
      </c>
      <c r="B91" s="6">
        <f>IF(COUNTIF(Feries,A91)&gt;0,"Férié",IF(WEEKDAY(A91,2)=6,"Samedi",IF(WEEKDAY(A91,2)=7,"Dimanche","Semaine")))</f>
        <v>0</v>
      </c>
      <c r="C91" s="8"/>
      <c r="D91" s="8"/>
      <c r="E91" s="11">
        <f>IF(AND(C91&lt;&gt;"",C91=C90),"Ligne 1 : même médecin deux jours de suite. ","")&amp;IF(AND(D91&lt;&gt;"",D91=D90),"Ligne 2 : même médecin deux jours de suite. ","")&amp;IF(AND(C91&lt;&gt;"",C91=D91),"Même médecin sur les deux lignes. ","")&amp;IF(AND(C91&lt;&gt;"",COUNTIFS(AbsMed,C91,AbsDu,"&lt;="&amp;A91,AbsAu,"&gt;="&amp;A91)&gt;0),C91&amp;" absent. ","")&amp;IF(AND(D91&lt;&gt;"",COUNTIFS(AbsMed,D91,AbsDu,"&lt;="&amp;A91,AbsAu,"&gt;="&amp;A91)&gt;0),D91&amp;" absent. ","")</f>
        <v>0</v>
      </c>
    </row>
    <row r="92" spans="1:5">
      <c r="A92" s="10">
        <f>Debut+90</f>
        <v>2027-04-01 00:00:00</v>
      </c>
      <c r="B92" s="6">
        <f>IF(COUNTIF(Feries,A92)&gt;0,"Férié",IF(WEEKDAY(A92,2)=6,"Samedi",IF(WEEKDAY(A92,2)=7,"Dimanche","Semaine")))</f>
        <v>0</v>
      </c>
      <c r="C92" s="8"/>
      <c r="D92" s="8"/>
      <c r="E92" s="11">
        <f>IF(AND(C92&lt;&gt;"",C92=C91),"Ligne 1 : même médecin deux jours de suite. ","")&amp;IF(AND(D92&lt;&gt;"",D92=D91),"Ligne 2 : même médecin deux jours de suite. ","")&amp;IF(AND(C92&lt;&gt;"",C92=D92),"Même médecin sur les deux lignes. ","")&amp;IF(AND(C92&lt;&gt;"",COUNTIFS(AbsMed,C92,AbsDu,"&lt;="&amp;A92,AbsAu,"&gt;="&amp;A92)&gt;0),C92&amp;" absent. ","")&amp;IF(AND(D92&lt;&gt;"",COUNTIFS(AbsMed,D92,AbsDu,"&lt;="&amp;A92,AbsAu,"&gt;="&amp;A92)&gt;0),D92&amp;" absent. ","")</f>
        <v>0</v>
      </c>
    </row>
    <row r="93" spans="1:5">
      <c r="A93" s="10">
        <f>Debut+91</f>
        <v>2027-04-02 00:00:00</v>
      </c>
      <c r="B93" s="6">
        <f>IF(COUNTIF(Feries,A93)&gt;0,"Férié",IF(WEEKDAY(A93,2)=6,"Samedi",IF(WEEKDAY(A93,2)=7,"Dimanche","Semaine")))</f>
        <v>0</v>
      </c>
      <c r="C93" s="8"/>
      <c r="D93" s="8"/>
      <c r="E93" s="11">
        <f>IF(AND(C93&lt;&gt;"",C93=C92),"Ligne 1 : même médecin deux jours de suite. ","")&amp;IF(AND(D93&lt;&gt;"",D93=D92),"Ligne 2 : même médecin deux jours de suite. ","")&amp;IF(AND(C93&lt;&gt;"",C93=D93),"Même médecin sur les deux lignes. ","")&amp;IF(AND(C93&lt;&gt;"",COUNTIFS(AbsMed,C93,AbsDu,"&lt;="&amp;A93,AbsAu,"&gt;="&amp;A93)&gt;0),C93&amp;" absent. ","")&amp;IF(AND(D93&lt;&gt;"",COUNTIFS(AbsMed,D93,AbsDu,"&lt;="&amp;A93,AbsAu,"&gt;="&amp;A93)&gt;0),D93&amp;" absent. ","")</f>
        <v>0</v>
      </c>
    </row>
    <row r="94" spans="1:5">
      <c r="A94" s="10">
        <f>Debut+92</f>
        <v>2027-04-03 00:00:00</v>
      </c>
      <c r="B94" s="6">
        <f>IF(COUNTIF(Feries,A94)&gt;0,"Férié",IF(WEEKDAY(A94,2)=6,"Samedi",IF(WEEKDAY(A94,2)=7,"Dimanche","Semaine")))</f>
        <v>0</v>
      </c>
      <c r="C94" s="8"/>
      <c r="D94" s="8"/>
      <c r="E94" s="11">
        <f>IF(AND(C94&lt;&gt;"",C94=C93),"Ligne 1 : même médecin deux jours de suite. ","")&amp;IF(AND(D94&lt;&gt;"",D94=D93),"Ligne 2 : même médecin deux jours de suite. ","")&amp;IF(AND(C94&lt;&gt;"",C94=D94),"Même médecin sur les deux lignes. ","")&amp;IF(AND(C94&lt;&gt;"",COUNTIFS(AbsMed,C94,AbsDu,"&lt;="&amp;A94,AbsAu,"&gt;="&amp;A94)&gt;0),C94&amp;" absent. ","")&amp;IF(AND(D94&lt;&gt;"",COUNTIFS(AbsMed,D94,AbsDu,"&lt;="&amp;A94,AbsAu,"&gt;="&amp;A94)&gt;0),D94&amp;" absent. ","")</f>
        <v>0</v>
      </c>
    </row>
    <row r="95" spans="1:5">
      <c r="A95" s="10">
        <f>Debut+93</f>
        <v>2027-04-04 00:00:00</v>
      </c>
      <c r="B95" s="6">
        <f>IF(COUNTIF(Feries,A95)&gt;0,"Férié",IF(WEEKDAY(A95,2)=6,"Samedi",IF(WEEKDAY(A95,2)=7,"Dimanche","Semaine")))</f>
        <v>0</v>
      </c>
      <c r="C95" s="8"/>
      <c r="D95" s="8"/>
      <c r="E95" s="11">
        <f>IF(AND(C95&lt;&gt;"",C95=C94),"Ligne 1 : même médecin deux jours de suite. ","")&amp;IF(AND(D95&lt;&gt;"",D95=D94),"Ligne 2 : même médecin deux jours de suite. ","")&amp;IF(AND(C95&lt;&gt;"",C95=D95),"Même médecin sur les deux lignes. ","")&amp;IF(AND(C95&lt;&gt;"",COUNTIFS(AbsMed,C95,AbsDu,"&lt;="&amp;A95,AbsAu,"&gt;="&amp;A95)&gt;0),C95&amp;" absent. ","")&amp;IF(AND(D95&lt;&gt;"",COUNTIFS(AbsMed,D95,AbsDu,"&lt;="&amp;A95,AbsAu,"&gt;="&amp;A95)&gt;0),D95&amp;" absent. ","")</f>
        <v>0</v>
      </c>
    </row>
    <row r="96" spans="1:5">
      <c r="A96" s="10">
        <f>Debut+94</f>
        <v>2027-04-05 00:00:00</v>
      </c>
      <c r="B96" s="6">
        <f>IF(COUNTIF(Feries,A96)&gt;0,"Férié",IF(WEEKDAY(A96,2)=6,"Samedi",IF(WEEKDAY(A96,2)=7,"Dimanche","Semaine")))</f>
        <v>0</v>
      </c>
      <c r="C96" s="8"/>
      <c r="D96" s="8"/>
      <c r="E96" s="11">
        <f>IF(AND(C96&lt;&gt;"",C96=C95),"Ligne 1 : même médecin deux jours de suite. ","")&amp;IF(AND(D96&lt;&gt;"",D96=D95),"Ligne 2 : même médecin deux jours de suite. ","")&amp;IF(AND(C96&lt;&gt;"",C96=D96),"Même médecin sur les deux lignes. ","")&amp;IF(AND(C96&lt;&gt;"",COUNTIFS(AbsMed,C96,AbsDu,"&lt;="&amp;A96,AbsAu,"&gt;="&amp;A96)&gt;0),C96&amp;" absent. ","")&amp;IF(AND(D96&lt;&gt;"",COUNTIFS(AbsMed,D96,AbsDu,"&lt;="&amp;A96,AbsAu,"&gt;="&amp;A96)&gt;0),D96&amp;" absent. ","")</f>
        <v>0</v>
      </c>
    </row>
    <row r="97" spans="1:5">
      <c r="A97" s="10">
        <f>Debut+95</f>
        <v>2027-04-06 00:00:00</v>
      </c>
      <c r="B97" s="6">
        <f>IF(COUNTIF(Feries,A97)&gt;0,"Férié",IF(WEEKDAY(A97,2)=6,"Samedi",IF(WEEKDAY(A97,2)=7,"Dimanche","Semaine")))</f>
        <v>0</v>
      </c>
      <c r="C97" s="8"/>
      <c r="D97" s="8"/>
      <c r="E97" s="11">
        <f>IF(AND(C97&lt;&gt;"",C97=C96),"Ligne 1 : même médecin deux jours de suite. ","")&amp;IF(AND(D97&lt;&gt;"",D97=D96),"Ligne 2 : même médecin deux jours de suite. ","")&amp;IF(AND(C97&lt;&gt;"",C97=D97),"Même médecin sur les deux lignes. ","")&amp;IF(AND(C97&lt;&gt;"",COUNTIFS(AbsMed,C97,AbsDu,"&lt;="&amp;A97,AbsAu,"&gt;="&amp;A97)&gt;0),C97&amp;" absent. ","")&amp;IF(AND(D97&lt;&gt;"",COUNTIFS(AbsMed,D97,AbsDu,"&lt;="&amp;A97,AbsAu,"&gt;="&amp;A97)&gt;0),D97&amp;" absent. ","")</f>
        <v>0</v>
      </c>
    </row>
    <row r="98" spans="1:5">
      <c r="A98" s="10">
        <f>Debut+96</f>
        <v>2027-04-07 00:00:00</v>
      </c>
      <c r="B98" s="6">
        <f>IF(COUNTIF(Feries,A98)&gt;0,"Férié",IF(WEEKDAY(A98,2)=6,"Samedi",IF(WEEKDAY(A98,2)=7,"Dimanche","Semaine")))</f>
        <v>0</v>
      </c>
      <c r="C98" s="8"/>
      <c r="D98" s="8"/>
      <c r="E98" s="11">
        <f>IF(AND(C98&lt;&gt;"",C98=C97),"Ligne 1 : même médecin deux jours de suite. ","")&amp;IF(AND(D98&lt;&gt;"",D98=D97),"Ligne 2 : même médecin deux jours de suite. ","")&amp;IF(AND(C98&lt;&gt;"",C98=D98),"Même médecin sur les deux lignes. ","")&amp;IF(AND(C98&lt;&gt;"",COUNTIFS(AbsMed,C98,AbsDu,"&lt;="&amp;A98,AbsAu,"&gt;="&amp;A98)&gt;0),C98&amp;" absent. ","")&amp;IF(AND(D98&lt;&gt;"",COUNTIFS(AbsMed,D98,AbsDu,"&lt;="&amp;A98,AbsAu,"&gt;="&amp;A98)&gt;0),D98&amp;" absent. ","")</f>
        <v>0</v>
      </c>
    </row>
    <row r="99" spans="1:5">
      <c r="A99" s="10">
        <f>Debut+97</f>
        <v>2027-04-08 00:00:00</v>
      </c>
      <c r="B99" s="6">
        <f>IF(COUNTIF(Feries,A99)&gt;0,"Férié",IF(WEEKDAY(A99,2)=6,"Samedi",IF(WEEKDAY(A99,2)=7,"Dimanche","Semaine")))</f>
        <v>0</v>
      </c>
      <c r="C99" s="8"/>
      <c r="D99" s="8"/>
      <c r="E99" s="11">
        <f>IF(AND(C99&lt;&gt;"",C99=C98),"Ligne 1 : même médecin deux jours de suite. ","")&amp;IF(AND(D99&lt;&gt;"",D99=D98),"Ligne 2 : même médecin deux jours de suite. ","")&amp;IF(AND(C99&lt;&gt;"",C99=D99),"Même médecin sur les deux lignes. ","")&amp;IF(AND(C99&lt;&gt;"",COUNTIFS(AbsMed,C99,AbsDu,"&lt;="&amp;A99,AbsAu,"&gt;="&amp;A99)&gt;0),C99&amp;" absent. ","")&amp;IF(AND(D99&lt;&gt;"",COUNTIFS(AbsMed,D99,AbsDu,"&lt;="&amp;A99,AbsAu,"&gt;="&amp;A99)&gt;0),D99&amp;" absent. ","")</f>
        <v>0</v>
      </c>
    </row>
    <row r="100" spans="1:5">
      <c r="A100" s="10">
        <f>Debut+98</f>
        <v>2027-04-09 00:00:00</v>
      </c>
      <c r="B100" s="6">
        <f>IF(COUNTIF(Feries,A100)&gt;0,"Férié",IF(WEEKDAY(A100,2)=6,"Samedi",IF(WEEKDAY(A100,2)=7,"Dimanche","Semaine")))</f>
        <v>0</v>
      </c>
      <c r="C100" s="8"/>
      <c r="D100" s="8"/>
      <c r="E100" s="11">
        <f>IF(AND(C100&lt;&gt;"",C100=C99),"Ligne 1 : même médecin deux jours de suite. ","")&amp;IF(AND(D100&lt;&gt;"",D100=D99),"Ligne 2 : même médecin deux jours de suite. ","")&amp;IF(AND(C100&lt;&gt;"",C100=D100),"Même médecin sur les deux lignes. ","")&amp;IF(AND(C100&lt;&gt;"",COUNTIFS(AbsMed,C100,AbsDu,"&lt;="&amp;A100,AbsAu,"&gt;="&amp;A100)&gt;0),C100&amp;" absent. ","")&amp;IF(AND(D100&lt;&gt;"",COUNTIFS(AbsMed,D100,AbsDu,"&lt;="&amp;A100,AbsAu,"&gt;="&amp;A100)&gt;0),D100&amp;" absent. ","")</f>
        <v>0</v>
      </c>
    </row>
    <row r="101" spans="1:5">
      <c r="A101" s="10">
        <f>Debut+99</f>
        <v>2027-04-10 00:00:00</v>
      </c>
      <c r="B101" s="6">
        <f>IF(COUNTIF(Feries,A101)&gt;0,"Férié",IF(WEEKDAY(A101,2)=6,"Samedi",IF(WEEKDAY(A101,2)=7,"Dimanche","Semaine")))</f>
        <v>0</v>
      </c>
      <c r="C101" s="8"/>
      <c r="D101" s="8"/>
      <c r="E101" s="11">
        <f>IF(AND(C101&lt;&gt;"",C101=C100),"Ligne 1 : même médecin deux jours de suite. ","")&amp;IF(AND(D101&lt;&gt;"",D101=D100),"Ligne 2 : même médecin deux jours de suite. ","")&amp;IF(AND(C101&lt;&gt;"",C101=D101),"Même médecin sur les deux lignes. ","")&amp;IF(AND(C101&lt;&gt;"",COUNTIFS(AbsMed,C101,AbsDu,"&lt;="&amp;A101,AbsAu,"&gt;="&amp;A101)&gt;0),C101&amp;" absent. ","")&amp;IF(AND(D101&lt;&gt;"",COUNTIFS(AbsMed,D101,AbsDu,"&lt;="&amp;A101,AbsAu,"&gt;="&amp;A101)&gt;0),D101&amp;" absent. ","")</f>
        <v>0</v>
      </c>
    </row>
    <row r="102" spans="1:5">
      <c r="A102" s="10">
        <f>Debut+100</f>
        <v>2027-04-11 00:00:00</v>
      </c>
      <c r="B102" s="6">
        <f>IF(COUNTIF(Feries,A102)&gt;0,"Férié",IF(WEEKDAY(A102,2)=6,"Samedi",IF(WEEKDAY(A102,2)=7,"Dimanche","Semaine")))</f>
        <v>0</v>
      </c>
      <c r="C102" s="8"/>
      <c r="D102" s="8"/>
      <c r="E102" s="11">
        <f>IF(AND(C102&lt;&gt;"",C102=C101),"Ligne 1 : même médecin deux jours de suite. ","")&amp;IF(AND(D102&lt;&gt;"",D102=D101),"Ligne 2 : même médecin deux jours de suite. ","")&amp;IF(AND(C102&lt;&gt;"",C102=D102),"Même médecin sur les deux lignes. ","")&amp;IF(AND(C102&lt;&gt;"",COUNTIFS(AbsMed,C102,AbsDu,"&lt;="&amp;A102,AbsAu,"&gt;="&amp;A102)&gt;0),C102&amp;" absent. ","")&amp;IF(AND(D102&lt;&gt;"",COUNTIFS(AbsMed,D102,AbsDu,"&lt;="&amp;A102,AbsAu,"&gt;="&amp;A102)&gt;0),D102&amp;" absent. ","")</f>
        <v>0</v>
      </c>
    </row>
    <row r="103" spans="1:5">
      <c r="A103" s="10">
        <f>Debut+101</f>
        <v>2027-04-12 00:00:00</v>
      </c>
      <c r="B103" s="6">
        <f>IF(COUNTIF(Feries,A103)&gt;0,"Férié",IF(WEEKDAY(A103,2)=6,"Samedi",IF(WEEKDAY(A103,2)=7,"Dimanche","Semaine")))</f>
        <v>0</v>
      </c>
      <c r="C103" s="8"/>
      <c r="D103" s="8"/>
      <c r="E103" s="11">
        <f>IF(AND(C103&lt;&gt;"",C103=C102),"Ligne 1 : même médecin deux jours de suite. ","")&amp;IF(AND(D103&lt;&gt;"",D103=D102),"Ligne 2 : même médecin deux jours de suite. ","")&amp;IF(AND(C103&lt;&gt;"",C103=D103),"Même médecin sur les deux lignes. ","")&amp;IF(AND(C103&lt;&gt;"",COUNTIFS(AbsMed,C103,AbsDu,"&lt;="&amp;A103,AbsAu,"&gt;="&amp;A103)&gt;0),C103&amp;" absent. ","")&amp;IF(AND(D103&lt;&gt;"",COUNTIFS(AbsMed,D103,AbsDu,"&lt;="&amp;A103,AbsAu,"&gt;="&amp;A103)&gt;0),D103&amp;" absent. ","")</f>
        <v>0</v>
      </c>
    </row>
    <row r="104" spans="1:5">
      <c r="A104" s="10">
        <f>Debut+102</f>
        <v>2027-04-13 00:00:00</v>
      </c>
      <c r="B104" s="6">
        <f>IF(COUNTIF(Feries,A104)&gt;0,"Férié",IF(WEEKDAY(A104,2)=6,"Samedi",IF(WEEKDAY(A104,2)=7,"Dimanche","Semaine")))</f>
        <v>0</v>
      </c>
      <c r="C104" s="8"/>
      <c r="D104" s="8"/>
      <c r="E104" s="11">
        <f>IF(AND(C104&lt;&gt;"",C104=C103),"Ligne 1 : même médecin deux jours de suite. ","")&amp;IF(AND(D104&lt;&gt;"",D104=D103),"Ligne 2 : même médecin deux jours de suite. ","")&amp;IF(AND(C104&lt;&gt;"",C104=D104),"Même médecin sur les deux lignes. ","")&amp;IF(AND(C104&lt;&gt;"",COUNTIFS(AbsMed,C104,AbsDu,"&lt;="&amp;A104,AbsAu,"&gt;="&amp;A104)&gt;0),C104&amp;" absent. ","")&amp;IF(AND(D104&lt;&gt;"",COUNTIFS(AbsMed,D104,AbsDu,"&lt;="&amp;A104,AbsAu,"&gt;="&amp;A104)&gt;0),D104&amp;" absent. ","")</f>
        <v>0</v>
      </c>
    </row>
    <row r="105" spans="1:5">
      <c r="A105" s="10">
        <f>Debut+103</f>
        <v>2027-04-14 00:00:00</v>
      </c>
      <c r="B105" s="6">
        <f>IF(COUNTIF(Feries,A105)&gt;0,"Férié",IF(WEEKDAY(A105,2)=6,"Samedi",IF(WEEKDAY(A105,2)=7,"Dimanche","Semaine")))</f>
        <v>0</v>
      </c>
      <c r="C105" s="8"/>
      <c r="D105" s="8"/>
      <c r="E105" s="11">
        <f>IF(AND(C105&lt;&gt;"",C105=C104),"Ligne 1 : même médecin deux jours de suite. ","")&amp;IF(AND(D105&lt;&gt;"",D105=D104),"Ligne 2 : même médecin deux jours de suite. ","")&amp;IF(AND(C105&lt;&gt;"",C105=D105),"Même médecin sur les deux lignes. ","")&amp;IF(AND(C105&lt;&gt;"",COUNTIFS(AbsMed,C105,AbsDu,"&lt;="&amp;A105,AbsAu,"&gt;="&amp;A105)&gt;0),C105&amp;" absent. ","")&amp;IF(AND(D105&lt;&gt;"",COUNTIFS(AbsMed,D105,AbsDu,"&lt;="&amp;A105,AbsAu,"&gt;="&amp;A105)&gt;0),D105&amp;" absent. ","")</f>
        <v>0</v>
      </c>
    </row>
    <row r="106" spans="1:5">
      <c r="A106" s="10">
        <f>Debut+104</f>
        <v>2027-04-15 00:00:00</v>
      </c>
      <c r="B106" s="6">
        <f>IF(COUNTIF(Feries,A106)&gt;0,"Férié",IF(WEEKDAY(A106,2)=6,"Samedi",IF(WEEKDAY(A106,2)=7,"Dimanche","Semaine")))</f>
        <v>0</v>
      </c>
      <c r="C106" s="8"/>
      <c r="D106" s="8"/>
      <c r="E106" s="11">
        <f>IF(AND(C106&lt;&gt;"",C106=C105),"Ligne 1 : même médecin deux jours de suite. ","")&amp;IF(AND(D106&lt;&gt;"",D106=D105),"Ligne 2 : même médecin deux jours de suite. ","")&amp;IF(AND(C106&lt;&gt;"",C106=D106),"Même médecin sur les deux lignes. ","")&amp;IF(AND(C106&lt;&gt;"",COUNTIFS(AbsMed,C106,AbsDu,"&lt;="&amp;A106,AbsAu,"&gt;="&amp;A106)&gt;0),C106&amp;" absent. ","")&amp;IF(AND(D106&lt;&gt;"",COUNTIFS(AbsMed,D106,AbsDu,"&lt;="&amp;A106,AbsAu,"&gt;="&amp;A106)&gt;0),D106&amp;" absent. ","")</f>
        <v>0</v>
      </c>
    </row>
    <row r="107" spans="1:5">
      <c r="A107" s="10">
        <f>Debut+105</f>
        <v>2027-04-16 00:00:00</v>
      </c>
      <c r="B107" s="6">
        <f>IF(COUNTIF(Feries,A107)&gt;0,"Férié",IF(WEEKDAY(A107,2)=6,"Samedi",IF(WEEKDAY(A107,2)=7,"Dimanche","Semaine")))</f>
        <v>0</v>
      </c>
      <c r="C107" s="8"/>
      <c r="D107" s="8"/>
      <c r="E107" s="11">
        <f>IF(AND(C107&lt;&gt;"",C107=C106),"Ligne 1 : même médecin deux jours de suite. ","")&amp;IF(AND(D107&lt;&gt;"",D107=D106),"Ligne 2 : même médecin deux jours de suite. ","")&amp;IF(AND(C107&lt;&gt;"",C107=D107),"Même médecin sur les deux lignes. ","")&amp;IF(AND(C107&lt;&gt;"",COUNTIFS(AbsMed,C107,AbsDu,"&lt;="&amp;A107,AbsAu,"&gt;="&amp;A107)&gt;0),C107&amp;" absent. ","")&amp;IF(AND(D107&lt;&gt;"",COUNTIFS(AbsMed,D107,AbsDu,"&lt;="&amp;A107,AbsAu,"&gt;="&amp;A107)&gt;0),D107&amp;" absent. ","")</f>
        <v>0</v>
      </c>
    </row>
    <row r="108" spans="1:5">
      <c r="A108" s="10">
        <f>Debut+106</f>
        <v>2027-04-17 00:00:00</v>
      </c>
      <c r="B108" s="6">
        <f>IF(COUNTIF(Feries,A108)&gt;0,"Férié",IF(WEEKDAY(A108,2)=6,"Samedi",IF(WEEKDAY(A108,2)=7,"Dimanche","Semaine")))</f>
        <v>0</v>
      </c>
      <c r="C108" s="8"/>
      <c r="D108" s="8"/>
      <c r="E108" s="11">
        <f>IF(AND(C108&lt;&gt;"",C108=C107),"Ligne 1 : même médecin deux jours de suite. ","")&amp;IF(AND(D108&lt;&gt;"",D108=D107),"Ligne 2 : même médecin deux jours de suite. ","")&amp;IF(AND(C108&lt;&gt;"",C108=D108),"Même médecin sur les deux lignes. ","")&amp;IF(AND(C108&lt;&gt;"",COUNTIFS(AbsMed,C108,AbsDu,"&lt;="&amp;A108,AbsAu,"&gt;="&amp;A108)&gt;0),C108&amp;" absent. ","")&amp;IF(AND(D108&lt;&gt;"",COUNTIFS(AbsMed,D108,AbsDu,"&lt;="&amp;A108,AbsAu,"&gt;="&amp;A108)&gt;0),D108&amp;" absent. ","")</f>
        <v>0</v>
      </c>
    </row>
    <row r="109" spans="1:5">
      <c r="A109" s="10">
        <f>Debut+107</f>
        <v>2027-04-18 00:00:00</v>
      </c>
      <c r="B109" s="6">
        <f>IF(COUNTIF(Feries,A109)&gt;0,"Férié",IF(WEEKDAY(A109,2)=6,"Samedi",IF(WEEKDAY(A109,2)=7,"Dimanche","Semaine")))</f>
        <v>0</v>
      </c>
      <c r="C109" s="8"/>
      <c r="D109" s="8"/>
      <c r="E109" s="11">
        <f>IF(AND(C109&lt;&gt;"",C109=C108),"Ligne 1 : même médecin deux jours de suite. ","")&amp;IF(AND(D109&lt;&gt;"",D109=D108),"Ligne 2 : même médecin deux jours de suite. ","")&amp;IF(AND(C109&lt;&gt;"",C109=D109),"Même médecin sur les deux lignes. ","")&amp;IF(AND(C109&lt;&gt;"",COUNTIFS(AbsMed,C109,AbsDu,"&lt;="&amp;A109,AbsAu,"&gt;="&amp;A109)&gt;0),C109&amp;" absent. ","")&amp;IF(AND(D109&lt;&gt;"",COUNTIFS(AbsMed,D109,AbsDu,"&lt;="&amp;A109,AbsAu,"&gt;="&amp;A109)&gt;0),D109&amp;" absent. ","")</f>
        <v>0</v>
      </c>
    </row>
    <row r="110" spans="1:5">
      <c r="A110" s="10">
        <f>Debut+108</f>
        <v>2027-04-19 00:00:00</v>
      </c>
      <c r="B110" s="6">
        <f>IF(COUNTIF(Feries,A110)&gt;0,"Férié",IF(WEEKDAY(A110,2)=6,"Samedi",IF(WEEKDAY(A110,2)=7,"Dimanche","Semaine")))</f>
        <v>0</v>
      </c>
      <c r="C110" s="8"/>
      <c r="D110" s="8"/>
      <c r="E110" s="11">
        <f>IF(AND(C110&lt;&gt;"",C110=C109),"Ligne 1 : même médecin deux jours de suite. ","")&amp;IF(AND(D110&lt;&gt;"",D110=D109),"Ligne 2 : même médecin deux jours de suite. ","")&amp;IF(AND(C110&lt;&gt;"",C110=D110),"Même médecin sur les deux lignes. ","")&amp;IF(AND(C110&lt;&gt;"",COUNTIFS(AbsMed,C110,AbsDu,"&lt;="&amp;A110,AbsAu,"&gt;="&amp;A110)&gt;0),C110&amp;" absent. ","")&amp;IF(AND(D110&lt;&gt;"",COUNTIFS(AbsMed,D110,AbsDu,"&lt;="&amp;A110,AbsAu,"&gt;="&amp;A110)&gt;0),D110&amp;" absent. ","")</f>
        <v>0</v>
      </c>
    </row>
    <row r="111" spans="1:5">
      <c r="A111" s="10">
        <f>Debut+109</f>
        <v>2027-04-20 00:00:00</v>
      </c>
      <c r="B111" s="6">
        <f>IF(COUNTIF(Feries,A111)&gt;0,"Férié",IF(WEEKDAY(A111,2)=6,"Samedi",IF(WEEKDAY(A111,2)=7,"Dimanche","Semaine")))</f>
        <v>0</v>
      </c>
      <c r="C111" s="8"/>
      <c r="D111" s="8"/>
      <c r="E111" s="11">
        <f>IF(AND(C111&lt;&gt;"",C111=C110),"Ligne 1 : même médecin deux jours de suite. ","")&amp;IF(AND(D111&lt;&gt;"",D111=D110),"Ligne 2 : même médecin deux jours de suite. ","")&amp;IF(AND(C111&lt;&gt;"",C111=D111),"Même médecin sur les deux lignes. ","")&amp;IF(AND(C111&lt;&gt;"",COUNTIFS(AbsMed,C111,AbsDu,"&lt;="&amp;A111,AbsAu,"&gt;="&amp;A111)&gt;0),C111&amp;" absent. ","")&amp;IF(AND(D111&lt;&gt;"",COUNTIFS(AbsMed,D111,AbsDu,"&lt;="&amp;A111,AbsAu,"&gt;="&amp;A111)&gt;0),D111&amp;" absent. ","")</f>
        <v>0</v>
      </c>
    </row>
    <row r="112" spans="1:5">
      <c r="A112" s="10">
        <f>Debut+110</f>
        <v>2027-04-21 00:00:00</v>
      </c>
      <c r="B112" s="6">
        <f>IF(COUNTIF(Feries,A112)&gt;0,"Férié",IF(WEEKDAY(A112,2)=6,"Samedi",IF(WEEKDAY(A112,2)=7,"Dimanche","Semaine")))</f>
        <v>0</v>
      </c>
      <c r="C112" s="8"/>
      <c r="D112" s="8"/>
      <c r="E112" s="11">
        <f>IF(AND(C112&lt;&gt;"",C112=C111),"Ligne 1 : même médecin deux jours de suite. ","")&amp;IF(AND(D112&lt;&gt;"",D112=D111),"Ligne 2 : même médecin deux jours de suite. ","")&amp;IF(AND(C112&lt;&gt;"",C112=D112),"Même médecin sur les deux lignes. ","")&amp;IF(AND(C112&lt;&gt;"",COUNTIFS(AbsMed,C112,AbsDu,"&lt;="&amp;A112,AbsAu,"&gt;="&amp;A112)&gt;0),C112&amp;" absent. ","")&amp;IF(AND(D112&lt;&gt;"",COUNTIFS(AbsMed,D112,AbsDu,"&lt;="&amp;A112,AbsAu,"&gt;="&amp;A112)&gt;0),D112&amp;" absent. ","")</f>
        <v>0</v>
      </c>
    </row>
    <row r="113" spans="1:5">
      <c r="A113" s="10">
        <f>Debut+111</f>
        <v>2027-04-22 00:00:00</v>
      </c>
      <c r="B113" s="6">
        <f>IF(COUNTIF(Feries,A113)&gt;0,"Férié",IF(WEEKDAY(A113,2)=6,"Samedi",IF(WEEKDAY(A113,2)=7,"Dimanche","Semaine")))</f>
        <v>0</v>
      </c>
      <c r="C113" s="8"/>
      <c r="D113" s="8"/>
      <c r="E113" s="11">
        <f>IF(AND(C113&lt;&gt;"",C113=C112),"Ligne 1 : même médecin deux jours de suite. ","")&amp;IF(AND(D113&lt;&gt;"",D113=D112),"Ligne 2 : même médecin deux jours de suite. ","")&amp;IF(AND(C113&lt;&gt;"",C113=D113),"Même médecin sur les deux lignes. ","")&amp;IF(AND(C113&lt;&gt;"",COUNTIFS(AbsMed,C113,AbsDu,"&lt;="&amp;A113,AbsAu,"&gt;="&amp;A113)&gt;0),C113&amp;" absent. ","")&amp;IF(AND(D113&lt;&gt;"",COUNTIFS(AbsMed,D113,AbsDu,"&lt;="&amp;A113,AbsAu,"&gt;="&amp;A113)&gt;0),D113&amp;" absent. ","")</f>
        <v>0</v>
      </c>
    </row>
    <row r="114" spans="1:5">
      <c r="A114" s="10">
        <f>Debut+112</f>
        <v>2027-04-23 00:00:00</v>
      </c>
      <c r="B114" s="6">
        <f>IF(COUNTIF(Feries,A114)&gt;0,"Férié",IF(WEEKDAY(A114,2)=6,"Samedi",IF(WEEKDAY(A114,2)=7,"Dimanche","Semaine")))</f>
        <v>0</v>
      </c>
      <c r="C114" s="8"/>
      <c r="D114" s="8"/>
      <c r="E114" s="11">
        <f>IF(AND(C114&lt;&gt;"",C114=C113),"Ligne 1 : même médecin deux jours de suite. ","")&amp;IF(AND(D114&lt;&gt;"",D114=D113),"Ligne 2 : même médecin deux jours de suite. ","")&amp;IF(AND(C114&lt;&gt;"",C114=D114),"Même médecin sur les deux lignes. ","")&amp;IF(AND(C114&lt;&gt;"",COUNTIFS(AbsMed,C114,AbsDu,"&lt;="&amp;A114,AbsAu,"&gt;="&amp;A114)&gt;0),C114&amp;" absent. ","")&amp;IF(AND(D114&lt;&gt;"",COUNTIFS(AbsMed,D114,AbsDu,"&lt;="&amp;A114,AbsAu,"&gt;="&amp;A114)&gt;0),D114&amp;" absent. ","")</f>
        <v>0</v>
      </c>
    </row>
    <row r="115" spans="1:5">
      <c r="A115" s="10">
        <f>Debut+113</f>
        <v>2027-04-24 00:00:00</v>
      </c>
      <c r="B115" s="6">
        <f>IF(COUNTIF(Feries,A115)&gt;0,"Férié",IF(WEEKDAY(A115,2)=6,"Samedi",IF(WEEKDAY(A115,2)=7,"Dimanche","Semaine")))</f>
        <v>0</v>
      </c>
      <c r="C115" s="8"/>
      <c r="D115" s="8"/>
      <c r="E115" s="11">
        <f>IF(AND(C115&lt;&gt;"",C115=C114),"Ligne 1 : même médecin deux jours de suite. ","")&amp;IF(AND(D115&lt;&gt;"",D115=D114),"Ligne 2 : même médecin deux jours de suite. ","")&amp;IF(AND(C115&lt;&gt;"",C115=D115),"Même médecin sur les deux lignes. ","")&amp;IF(AND(C115&lt;&gt;"",COUNTIFS(AbsMed,C115,AbsDu,"&lt;="&amp;A115,AbsAu,"&gt;="&amp;A115)&gt;0),C115&amp;" absent. ","")&amp;IF(AND(D115&lt;&gt;"",COUNTIFS(AbsMed,D115,AbsDu,"&lt;="&amp;A115,AbsAu,"&gt;="&amp;A115)&gt;0),D115&amp;" absent. ","")</f>
        <v>0</v>
      </c>
    </row>
    <row r="116" spans="1:5">
      <c r="A116" s="10">
        <f>Debut+114</f>
        <v>2027-04-25 00:00:00</v>
      </c>
      <c r="B116" s="6">
        <f>IF(COUNTIF(Feries,A116)&gt;0,"Férié",IF(WEEKDAY(A116,2)=6,"Samedi",IF(WEEKDAY(A116,2)=7,"Dimanche","Semaine")))</f>
        <v>0</v>
      </c>
      <c r="C116" s="8"/>
      <c r="D116" s="8"/>
      <c r="E116" s="11">
        <f>IF(AND(C116&lt;&gt;"",C116=C115),"Ligne 1 : même médecin deux jours de suite. ","")&amp;IF(AND(D116&lt;&gt;"",D116=D115),"Ligne 2 : même médecin deux jours de suite. ","")&amp;IF(AND(C116&lt;&gt;"",C116=D116),"Même médecin sur les deux lignes. ","")&amp;IF(AND(C116&lt;&gt;"",COUNTIFS(AbsMed,C116,AbsDu,"&lt;="&amp;A116,AbsAu,"&gt;="&amp;A116)&gt;0),C116&amp;" absent. ","")&amp;IF(AND(D116&lt;&gt;"",COUNTIFS(AbsMed,D116,AbsDu,"&lt;="&amp;A116,AbsAu,"&gt;="&amp;A116)&gt;0),D116&amp;" absent. ","")</f>
        <v>0</v>
      </c>
    </row>
    <row r="117" spans="1:5">
      <c r="A117" s="10">
        <f>Debut+115</f>
        <v>2027-04-26 00:00:00</v>
      </c>
      <c r="B117" s="6">
        <f>IF(COUNTIF(Feries,A117)&gt;0,"Férié",IF(WEEKDAY(A117,2)=6,"Samedi",IF(WEEKDAY(A117,2)=7,"Dimanche","Semaine")))</f>
        <v>0</v>
      </c>
      <c r="C117" s="8"/>
      <c r="D117" s="8"/>
      <c r="E117" s="11">
        <f>IF(AND(C117&lt;&gt;"",C117=C116),"Ligne 1 : même médecin deux jours de suite. ","")&amp;IF(AND(D117&lt;&gt;"",D117=D116),"Ligne 2 : même médecin deux jours de suite. ","")&amp;IF(AND(C117&lt;&gt;"",C117=D117),"Même médecin sur les deux lignes. ","")&amp;IF(AND(C117&lt;&gt;"",COUNTIFS(AbsMed,C117,AbsDu,"&lt;="&amp;A117,AbsAu,"&gt;="&amp;A117)&gt;0),C117&amp;" absent. ","")&amp;IF(AND(D117&lt;&gt;"",COUNTIFS(AbsMed,D117,AbsDu,"&lt;="&amp;A117,AbsAu,"&gt;="&amp;A117)&gt;0),D117&amp;" absent. ","")</f>
        <v>0</v>
      </c>
    </row>
    <row r="118" spans="1:5">
      <c r="A118" s="10">
        <f>Debut+116</f>
        <v>2027-04-27 00:00:00</v>
      </c>
      <c r="B118" s="6">
        <f>IF(COUNTIF(Feries,A118)&gt;0,"Férié",IF(WEEKDAY(A118,2)=6,"Samedi",IF(WEEKDAY(A118,2)=7,"Dimanche","Semaine")))</f>
        <v>0</v>
      </c>
      <c r="C118" s="8"/>
      <c r="D118" s="8"/>
      <c r="E118" s="11">
        <f>IF(AND(C118&lt;&gt;"",C118=C117),"Ligne 1 : même médecin deux jours de suite. ","")&amp;IF(AND(D118&lt;&gt;"",D118=D117),"Ligne 2 : même médecin deux jours de suite. ","")&amp;IF(AND(C118&lt;&gt;"",C118=D118),"Même médecin sur les deux lignes. ","")&amp;IF(AND(C118&lt;&gt;"",COUNTIFS(AbsMed,C118,AbsDu,"&lt;="&amp;A118,AbsAu,"&gt;="&amp;A118)&gt;0),C118&amp;" absent. ","")&amp;IF(AND(D118&lt;&gt;"",COUNTIFS(AbsMed,D118,AbsDu,"&lt;="&amp;A118,AbsAu,"&gt;="&amp;A118)&gt;0),D118&amp;" absent. ","")</f>
        <v>0</v>
      </c>
    </row>
    <row r="119" spans="1:5">
      <c r="A119" s="10">
        <f>Debut+117</f>
        <v>2027-04-28 00:00:00</v>
      </c>
      <c r="B119" s="6">
        <f>IF(COUNTIF(Feries,A119)&gt;0,"Férié",IF(WEEKDAY(A119,2)=6,"Samedi",IF(WEEKDAY(A119,2)=7,"Dimanche","Semaine")))</f>
        <v>0</v>
      </c>
      <c r="C119" s="8"/>
      <c r="D119" s="8"/>
      <c r="E119" s="11">
        <f>IF(AND(C119&lt;&gt;"",C119=C118),"Ligne 1 : même médecin deux jours de suite. ","")&amp;IF(AND(D119&lt;&gt;"",D119=D118),"Ligne 2 : même médecin deux jours de suite. ","")&amp;IF(AND(C119&lt;&gt;"",C119=D119),"Même médecin sur les deux lignes. ","")&amp;IF(AND(C119&lt;&gt;"",COUNTIFS(AbsMed,C119,AbsDu,"&lt;="&amp;A119,AbsAu,"&gt;="&amp;A119)&gt;0),C119&amp;" absent. ","")&amp;IF(AND(D119&lt;&gt;"",COUNTIFS(AbsMed,D119,AbsDu,"&lt;="&amp;A119,AbsAu,"&gt;="&amp;A119)&gt;0),D119&amp;" absent. ","")</f>
        <v>0</v>
      </c>
    </row>
    <row r="120" spans="1:5">
      <c r="A120" s="10">
        <f>Debut+118</f>
        <v>2027-04-29 00:00:00</v>
      </c>
      <c r="B120" s="6">
        <f>IF(COUNTIF(Feries,A120)&gt;0,"Férié",IF(WEEKDAY(A120,2)=6,"Samedi",IF(WEEKDAY(A120,2)=7,"Dimanche","Semaine")))</f>
        <v>0</v>
      </c>
      <c r="C120" s="8"/>
      <c r="D120" s="8"/>
      <c r="E120" s="11">
        <f>IF(AND(C120&lt;&gt;"",C120=C119),"Ligne 1 : même médecin deux jours de suite. ","")&amp;IF(AND(D120&lt;&gt;"",D120=D119),"Ligne 2 : même médecin deux jours de suite. ","")&amp;IF(AND(C120&lt;&gt;"",C120=D120),"Même médecin sur les deux lignes. ","")&amp;IF(AND(C120&lt;&gt;"",COUNTIFS(AbsMed,C120,AbsDu,"&lt;="&amp;A120,AbsAu,"&gt;="&amp;A120)&gt;0),C120&amp;" absent. ","")&amp;IF(AND(D120&lt;&gt;"",COUNTIFS(AbsMed,D120,AbsDu,"&lt;="&amp;A120,AbsAu,"&gt;="&amp;A120)&gt;0),D120&amp;" absent. ","")</f>
        <v>0</v>
      </c>
    </row>
    <row r="121" spans="1:5">
      <c r="A121" s="10">
        <f>Debut+119</f>
        <v>2027-04-30 00:00:00</v>
      </c>
      <c r="B121" s="6">
        <f>IF(COUNTIF(Feries,A121)&gt;0,"Férié",IF(WEEKDAY(A121,2)=6,"Samedi",IF(WEEKDAY(A121,2)=7,"Dimanche","Semaine")))</f>
        <v>0</v>
      </c>
      <c r="C121" s="8"/>
      <c r="D121" s="8"/>
      <c r="E121" s="11">
        <f>IF(AND(C121&lt;&gt;"",C121=C120),"Ligne 1 : même médecin deux jours de suite. ","")&amp;IF(AND(D121&lt;&gt;"",D121=D120),"Ligne 2 : même médecin deux jours de suite. ","")&amp;IF(AND(C121&lt;&gt;"",C121=D121),"Même médecin sur les deux lignes. ","")&amp;IF(AND(C121&lt;&gt;"",COUNTIFS(AbsMed,C121,AbsDu,"&lt;="&amp;A121,AbsAu,"&gt;="&amp;A121)&gt;0),C121&amp;" absent. ","")&amp;IF(AND(D121&lt;&gt;"",COUNTIFS(AbsMed,D121,AbsDu,"&lt;="&amp;A121,AbsAu,"&gt;="&amp;A121)&gt;0),D121&amp;" absent. ","")</f>
        <v>0</v>
      </c>
    </row>
    <row r="122" spans="1:5">
      <c r="A122" s="10">
        <f>Debut+120</f>
        <v>2027-05-01 00:00:00</v>
      </c>
      <c r="B122" s="6">
        <f>IF(COUNTIF(Feries,A122)&gt;0,"Férié",IF(WEEKDAY(A122,2)=6,"Samedi",IF(WEEKDAY(A122,2)=7,"Dimanche","Semaine")))</f>
        <v>0</v>
      </c>
      <c r="C122" s="8"/>
      <c r="D122" s="8"/>
      <c r="E122" s="11">
        <f>IF(AND(C122&lt;&gt;"",C122=C121),"Ligne 1 : même médecin deux jours de suite. ","")&amp;IF(AND(D122&lt;&gt;"",D122=D121),"Ligne 2 : même médecin deux jours de suite. ","")&amp;IF(AND(C122&lt;&gt;"",C122=D122),"Même médecin sur les deux lignes. ","")&amp;IF(AND(C122&lt;&gt;"",COUNTIFS(AbsMed,C122,AbsDu,"&lt;="&amp;A122,AbsAu,"&gt;="&amp;A122)&gt;0),C122&amp;" absent. ","")&amp;IF(AND(D122&lt;&gt;"",COUNTIFS(AbsMed,D122,AbsDu,"&lt;="&amp;A122,AbsAu,"&gt;="&amp;A122)&gt;0),D122&amp;" absent. ","")</f>
        <v>0</v>
      </c>
    </row>
    <row r="123" spans="1:5">
      <c r="A123" s="10">
        <f>Debut+121</f>
        <v>2027-05-02 00:00:00</v>
      </c>
      <c r="B123" s="6">
        <f>IF(COUNTIF(Feries,A123)&gt;0,"Férié",IF(WEEKDAY(A123,2)=6,"Samedi",IF(WEEKDAY(A123,2)=7,"Dimanche","Semaine")))</f>
        <v>0</v>
      </c>
      <c r="C123" s="8"/>
      <c r="D123" s="8"/>
      <c r="E123" s="11">
        <f>IF(AND(C123&lt;&gt;"",C123=C122),"Ligne 1 : même médecin deux jours de suite. ","")&amp;IF(AND(D123&lt;&gt;"",D123=D122),"Ligne 2 : même médecin deux jours de suite. ","")&amp;IF(AND(C123&lt;&gt;"",C123=D123),"Même médecin sur les deux lignes. ","")&amp;IF(AND(C123&lt;&gt;"",COUNTIFS(AbsMed,C123,AbsDu,"&lt;="&amp;A123,AbsAu,"&gt;="&amp;A123)&gt;0),C123&amp;" absent. ","")&amp;IF(AND(D123&lt;&gt;"",COUNTIFS(AbsMed,D123,AbsDu,"&lt;="&amp;A123,AbsAu,"&gt;="&amp;A123)&gt;0),D123&amp;" absent. ","")</f>
        <v>0</v>
      </c>
    </row>
    <row r="124" spans="1:5">
      <c r="A124" s="10">
        <f>Debut+122</f>
        <v>2027-05-03 00:00:00</v>
      </c>
      <c r="B124" s="6">
        <f>IF(COUNTIF(Feries,A124)&gt;0,"Férié",IF(WEEKDAY(A124,2)=6,"Samedi",IF(WEEKDAY(A124,2)=7,"Dimanche","Semaine")))</f>
        <v>0</v>
      </c>
      <c r="C124" s="8"/>
      <c r="D124" s="8"/>
      <c r="E124" s="11">
        <f>IF(AND(C124&lt;&gt;"",C124=C123),"Ligne 1 : même médecin deux jours de suite. ","")&amp;IF(AND(D124&lt;&gt;"",D124=D123),"Ligne 2 : même médecin deux jours de suite. ","")&amp;IF(AND(C124&lt;&gt;"",C124=D124),"Même médecin sur les deux lignes. ","")&amp;IF(AND(C124&lt;&gt;"",COUNTIFS(AbsMed,C124,AbsDu,"&lt;="&amp;A124,AbsAu,"&gt;="&amp;A124)&gt;0),C124&amp;" absent. ","")&amp;IF(AND(D124&lt;&gt;"",COUNTIFS(AbsMed,D124,AbsDu,"&lt;="&amp;A124,AbsAu,"&gt;="&amp;A124)&gt;0),D124&amp;" absent. ","")</f>
        <v>0</v>
      </c>
    </row>
    <row r="125" spans="1:5">
      <c r="A125" s="10">
        <f>Debut+123</f>
        <v>2027-05-04 00:00:00</v>
      </c>
      <c r="B125" s="6">
        <f>IF(COUNTIF(Feries,A125)&gt;0,"Férié",IF(WEEKDAY(A125,2)=6,"Samedi",IF(WEEKDAY(A125,2)=7,"Dimanche","Semaine")))</f>
        <v>0</v>
      </c>
      <c r="C125" s="8"/>
      <c r="D125" s="8"/>
      <c r="E125" s="11">
        <f>IF(AND(C125&lt;&gt;"",C125=C124),"Ligne 1 : même médecin deux jours de suite. ","")&amp;IF(AND(D125&lt;&gt;"",D125=D124),"Ligne 2 : même médecin deux jours de suite. ","")&amp;IF(AND(C125&lt;&gt;"",C125=D125),"Même médecin sur les deux lignes. ","")&amp;IF(AND(C125&lt;&gt;"",COUNTIFS(AbsMed,C125,AbsDu,"&lt;="&amp;A125,AbsAu,"&gt;="&amp;A125)&gt;0),C125&amp;" absent. ","")&amp;IF(AND(D125&lt;&gt;"",COUNTIFS(AbsMed,D125,AbsDu,"&lt;="&amp;A125,AbsAu,"&gt;="&amp;A125)&gt;0),D125&amp;" absent. ","")</f>
        <v>0</v>
      </c>
    </row>
    <row r="126" spans="1:5">
      <c r="A126" s="10">
        <f>Debut+124</f>
        <v>2027-05-05 00:00:00</v>
      </c>
      <c r="B126" s="6">
        <f>IF(COUNTIF(Feries,A126)&gt;0,"Férié",IF(WEEKDAY(A126,2)=6,"Samedi",IF(WEEKDAY(A126,2)=7,"Dimanche","Semaine")))</f>
        <v>0</v>
      </c>
      <c r="C126" s="8"/>
      <c r="D126" s="8"/>
      <c r="E126" s="11">
        <f>IF(AND(C126&lt;&gt;"",C126=C125),"Ligne 1 : même médecin deux jours de suite. ","")&amp;IF(AND(D126&lt;&gt;"",D126=D125),"Ligne 2 : même médecin deux jours de suite. ","")&amp;IF(AND(C126&lt;&gt;"",C126=D126),"Même médecin sur les deux lignes. ","")&amp;IF(AND(C126&lt;&gt;"",COUNTIFS(AbsMed,C126,AbsDu,"&lt;="&amp;A126,AbsAu,"&gt;="&amp;A126)&gt;0),C126&amp;" absent. ","")&amp;IF(AND(D126&lt;&gt;"",COUNTIFS(AbsMed,D126,AbsDu,"&lt;="&amp;A126,AbsAu,"&gt;="&amp;A126)&gt;0),D126&amp;" absent. ","")</f>
        <v>0</v>
      </c>
    </row>
    <row r="127" spans="1:5">
      <c r="A127" s="10">
        <f>Debut+125</f>
        <v>2027-05-06 00:00:00</v>
      </c>
      <c r="B127" s="6">
        <f>IF(COUNTIF(Feries,A127)&gt;0,"Férié",IF(WEEKDAY(A127,2)=6,"Samedi",IF(WEEKDAY(A127,2)=7,"Dimanche","Semaine")))</f>
        <v>0</v>
      </c>
      <c r="C127" s="8"/>
      <c r="D127" s="8"/>
      <c r="E127" s="11">
        <f>IF(AND(C127&lt;&gt;"",C127=C126),"Ligne 1 : même médecin deux jours de suite. ","")&amp;IF(AND(D127&lt;&gt;"",D127=D126),"Ligne 2 : même médecin deux jours de suite. ","")&amp;IF(AND(C127&lt;&gt;"",C127=D127),"Même médecin sur les deux lignes. ","")&amp;IF(AND(C127&lt;&gt;"",COUNTIFS(AbsMed,C127,AbsDu,"&lt;="&amp;A127,AbsAu,"&gt;="&amp;A127)&gt;0),C127&amp;" absent. ","")&amp;IF(AND(D127&lt;&gt;"",COUNTIFS(AbsMed,D127,AbsDu,"&lt;="&amp;A127,AbsAu,"&gt;="&amp;A127)&gt;0),D127&amp;" absent. ","")</f>
        <v>0</v>
      </c>
    </row>
    <row r="128" spans="1:5">
      <c r="A128" s="10">
        <f>Debut+126</f>
        <v>2027-05-07 00:00:00</v>
      </c>
      <c r="B128" s="6">
        <f>IF(COUNTIF(Feries,A128)&gt;0,"Férié",IF(WEEKDAY(A128,2)=6,"Samedi",IF(WEEKDAY(A128,2)=7,"Dimanche","Semaine")))</f>
        <v>0</v>
      </c>
      <c r="C128" s="8"/>
      <c r="D128" s="8"/>
      <c r="E128" s="11">
        <f>IF(AND(C128&lt;&gt;"",C128=C127),"Ligne 1 : même médecin deux jours de suite. ","")&amp;IF(AND(D128&lt;&gt;"",D128=D127),"Ligne 2 : même médecin deux jours de suite. ","")&amp;IF(AND(C128&lt;&gt;"",C128=D128),"Même médecin sur les deux lignes. ","")&amp;IF(AND(C128&lt;&gt;"",COUNTIFS(AbsMed,C128,AbsDu,"&lt;="&amp;A128,AbsAu,"&gt;="&amp;A128)&gt;0),C128&amp;" absent. ","")&amp;IF(AND(D128&lt;&gt;"",COUNTIFS(AbsMed,D128,AbsDu,"&lt;="&amp;A128,AbsAu,"&gt;="&amp;A128)&gt;0),D128&amp;" absent. ","")</f>
        <v>0</v>
      </c>
    </row>
    <row r="129" spans="1:5">
      <c r="A129" s="10">
        <f>Debut+127</f>
        <v>2027-05-08 00:00:00</v>
      </c>
      <c r="B129" s="6">
        <f>IF(COUNTIF(Feries,A129)&gt;0,"Férié",IF(WEEKDAY(A129,2)=6,"Samedi",IF(WEEKDAY(A129,2)=7,"Dimanche","Semaine")))</f>
        <v>0</v>
      </c>
      <c r="C129" s="8"/>
      <c r="D129" s="8"/>
      <c r="E129" s="11">
        <f>IF(AND(C129&lt;&gt;"",C129=C128),"Ligne 1 : même médecin deux jours de suite. ","")&amp;IF(AND(D129&lt;&gt;"",D129=D128),"Ligne 2 : même médecin deux jours de suite. ","")&amp;IF(AND(C129&lt;&gt;"",C129=D129),"Même médecin sur les deux lignes. ","")&amp;IF(AND(C129&lt;&gt;"",COUNTIFS(AbsMed,C129,AbsDu,"&lt;="&amp;A129,AbsAu,"&gt;="&amp;A129)&gt;0),C129&amp;" absent. ","")&amp;IF(AND(D129&lt;&gt;"",COUNTIFS(AbsMed,D129,AbsDu,"&lt;="&amp;A129,AbsAu,"&gt;="&amp;A129)&gt;0),D129&amp;" absent. ","")</f>
        <v>0</v>
      </c>
    </row>
    <row r="130" spans="1:5">
      <c r="A130" s="10">
        <f>Debut+128</f>
        <v>2027-05-09 00:00:00</v>
      </c>
      <c r="B130" s="6">
        <f>IF(COUNTIF(Feries,A130)&gt;0,"Férié",IF(WEEKDAY(A130,2)=6,"Samedi",IF(WEEKDAY(A130,2)=7,"Dimanche","Semaine")))</f>
        <v>0</v>
      </c>
      <c r="C130" s="8"/>
      <c r="D130" s="8"/>
      <c r="E130" s="11">
        <f>IF(AND(C130&lt;&gt;"",C130=C129),"Ligne 1 : même médecin deux jours de suite. ","")&amp;IF(AND(D130&lt;&gt;"",D130=D129),"Ligne 2 : même médecin deux jours de suite. ","")&amp;IF(AND(C130&lt;&gt;"",C130=D130),"Même médecin sur les deux lignes. ","")&amp;IF(AND(C130&lt;&gt;"",COUNTIFS(AbsMed,C130,AbsDu,"&lt;="&amp;A130,AbsAu,"&gt;="&amp;A130)&gt;0),C130&amp;" absent. ","")&amp;IF(AND(D130&lt;&gt;"",COUNTIFS(AbsMed,D130,AbsDu,"&lt;="&amp;A130,AbsAu,"&gt;="&amp;A130)&gt;0),D130&amp;" absent. ","")</f>
        <v>0</v>
      </c>
    </row>
    <row r="131" spans="1:5">
      <c r="A131" s="10">
        <f>Debut+129</f>
        <v>2027-05-10 00:00:00</v>
      </c>
      <c r="B131" s="6">
        <f>IF(COUNTIF(Feries,A131)&gt;0,"Férié",IF(WEEKDAY(A131,2)=6,"Samedi",IF(WEEKDAY(A131,2)=7,"Dimanche","Semaine")))</f>
        <v>0</v>
      </c>
      <c r="C131" s="8"/>
      <c r="D131" s="8"/>
      <c r="E131" s="11">
        <f>IF(AND(C131&lt;&gt;"",C131=C130),"Ligne 1 : même médecin deux jours de suite. ","")&amp;IF(AND(D131&lt;&gt;"",D131=D130),"Ligne 2 : même médecin deux jours de suite. ","")&amp;IF(AND(C131&lt;&gt;"",C131=D131),"Même médecin sur les deux lignes. ","")&amp;IF(AND(C131&lt;&gt;"",COUNTIFS(AbsMed,C131,AbsDu,"&lt;="&amp;A131,AbsAu,"&gt;="&amp;A131)&gt;0),C131&amp;" absent. ","")&amp;IF(AND(D131&lt;&gt;"",COUNTIFS(AbsMed,D131,AbsDu,"&lt;="&amp;A131,AbsAu,"&gt;="&amp;A131)&gt;0),D131&amp;" absent. ","")</f>
        <v>0</v>
      </c>
    </row>
    <row r="132" spans="1:5">
      <c r="A132" s="10">
        <f>Debut+130</f>
        <v>2027-05-11 00:00:00</v>
      </c>
      <c r="B132" s="6">
        <f>IF(COUNTIF(Feries,A132)&gt;0,"Férié",IF(WEEKDAY(A132,2)=6,"Samedi",IF(WEEKDAY(A132,2)=7,"Dimanche","Semaine")))</f>
        <v>0</v>
      </c>
      <c r="C132" s="8"/>
      <c r="D132" s="8"/>
      <c r="E132" s="11">
        <f>IF(AND(C132&lt;&gt;"",C132=C131),"Ligne 1 : même médecin deux jours de suite. ","")&amp;IF(AND(D132&lt;&gt;"",D132=D131),"Ligne 2 : même médecin deux jours de suite. ","")&amp;IF(AND(C132&lt;&gt;"",C132=D132),"Même médecin sur les deux lignes. ","")&amp;IF(AND(C132&lt;&gt;"",COUNTIFS(AbsMed,C132,AbsDu,"&lt;="&amp;A132,AbsAu,"&gt;="&amp;A132)&gt;0),C132&amp;" absent. ","")&amp;IF(AND(D132&lt;&gt;"",COUNTIFS(AbsMed,D132,AbsDu,"&lt;="&amp;A132,AbsAu,"&gt;="&amp;A132)&gt;0),D132&amp;" absent. ","")</f>
        <v>0</v>
      </c>
    </row>
    <row r="133" spans="1:5">
      <c r="A133" s="10">
        <f>Debut+131</f>
        <v>2027-05-12 00:00:00</v>
      </c>
      <c r="B133" s="6">
        <f>IF(COUNTIF(Feries,A133)&gt;0,"Férié",IF(WEEKDAY(A133,2)=6,"Samedi",IF(WEEKDAY(A133,2)=7,"Dimanche","Semaine")))</f>
        <v>0</v>
      </c>
      <c r="C133" s="8"/>
      <c r="D133" s="8"/>
      <c r="E133" s="11">
        <f>IF(AND(C133&lt;&gt;"",C133=C132),"Ligne 1 : même médecin deux jours de suite. ","")&amp;IF(AND(D133&lt;&gt;"",D133=D132),"Ligne 2 : même médecin deux jours de suite. ","")&amp;IF(AND(C133&lt;&gt;"",C133=D133),"Même médecin sur les deux lignes. ","")&amp;IF(AND(C133&lt;&gt;"",COUNTIFS(AbsMed,C133,AbsDu,"&lt;="&amp;A133,AbsAu,"&gt;="&amp;A133)&gt;0),C133&amp;" absent. ","")&amp;IF(AND(D133&lt;&gt;"",COUNTIFS(AbsMed,D133,AbsDu,"&lt;="&amp;A133,AbsAu,"&gt;="&amp;A133)&gt;0),D133&amp;" absent. ","")</f>
        <v>0</v>
      </c>
    </row>
    <row r="134" spans="1:5">
      <c r="A134" s="10">
        <f>Debut+132</f>
        <v>2027-05-13 00:00:00</v>
      </c>
      <c r="B134" s="6">
        <f>IF(COUNTIF(Feries,A134)&gt;0,"Férié",IF(WEEKDAY(A134,2)=6,"Samedi",IF(WEEKDAY(A134,2)=7,"Dimanche","Semaine")))</f>
        <v>0</v>
      </c>
      <c r="C134" s="8"/>
      <c r="D134" s="8"/>
      <c r="E134" s="11">
        <f>IF(AND(C134&lt;&gt;"",C134=C133),"Ligne 1 : même médecin deux jours de suite. ","")&amp;IF(AND(D134&lt;&gt;"",D134=D133),"Ligne 2 : même médecin deux jours de suite. ","")&amp;IF(AND(C134&lt;&gt;"",C134=D134),"Même médecin sur les deux lignes. ","")&amp;IF(AND(C134&lt;&gt;"",COUNTIFS(AbsMed,C134,AbsDu,"&lt;="&amp;A134,AbsAu,"&gt;="&amp;A134)&gt;0),C134&amp;" absent. ","")&amp;IF(AND(D134&lt;&gt;"",COUNTIFS(AbsMed,D134,AbsDu,"&lt;="&amp;A134,AbsAu,"&gt;="&amp;A134)&gt;0),D134&amp;" absent. ","")</f>
        <v>0</v>
      </c>
    </row>
    <row r="135" spans="1:5">
      <c r="A135" s="10">
        <f>Debut+133</f>
        <v>2027-05-14 00:00:00</v>
      </c>
      <c r="B135" s="6">
        <f>IF(COUNTIF(Feries,A135)&gt;0,"Férié",IF(WEEKDAY(A135,2)=6,"Samedi",IF(WEEKDAY(A135,2)=7,"Dimanche","Semaine")))</f>
        <v>0</v>
      </c>
      <c r="C135" s="8"/>
      <c r="D135" s="8"/>
      <c r="E135" s="11">
        <f>IF(AND(C135&lt;&gt;"",C135=C134),"Ligne 1 : même médecin deux jours de suite. ","")&amp;IF(AND(D135&lt;&gt;"",D135=D134),"Ligne 2 : même médecin deux jours de suite. ","")&amp;IF(AND(C135&lt;&gt;"",C135=D135),"Même médecin sur les deux lignes. ","")&amp;IF(AND(C135&lt;&gt;"",COUNTIFS(AbsMed,C135,AbsDu,"&lt;="&amp;A135,AbsAu,"&gt;="&amp;A135)&gt;0),C135&amp;" absent. ","")&amp;IF(AND(D135&lt;&gt;"",COUNTIFS(AbsMed,D135,AbsDu,"&lt;="&amp;A135,AbsAu,"&gt;="&amp;A135)&gt;0),D135&amp;" absent. ","")</f>
        <v>0</v>
      </c>
    </row>
    <row r="136" spans="1:5">
      <c r="A136" s="10">
        <f>Debut+134</f>
        <v>2027-05-15 00:00:00</v>
      </c>
      <c r="B136" s="6">
        <f>IF(COUNTIF(Feries,A136)&gt;0,"Férié",IF(WEEKDAY(A136,2)=6,"Samedi",IF(WEEKDAY(A136,2)=7,"Dimanche","Semaine")))</f>
        <v>0</v>
      </c>
      <c r="C136" s="8"/>
      <c r="D136" s="8"/>
      <c r="E136" s="11">
        <f>IF(AND(C136&lt;&gt;"",C136=C135),"Ligne 1 : même médecin deux jours de suite. ","")&amp;IF(AND(D136&lt;&gt;"",D136=D135),"Ligne 2 : même médecin deux jours de suite. ","")&amp;IF(AND(C136&lt;&gt;"",C136=D136),"Même médecin sur les deux lignes. ","")&amp;IF(AND(C136&lt;&gt;"",COUNTIFS(AbsMed,C136,AbsDu,"&lt;="&amp;A136,AbsAu,"&gt;="&amp;A136)&gt;0),C136&amp;" absent. ","")&amp;IF(AND(D136&lt;&gt;"",COUNTIFS(AbsMed,D136,AbsDu,"&lt;="&amp;A136,AbsAu,"&gt;="&amp;A136)&gt;0),D136&amp;" absent. ","")</f>
        <v>0</v>
      </c>
    </row>
    <row r="137" spans="1:5">
      <c r="A137" s="10">
        <f>Debut+135</f>
        <v>2027-05-16 00:00:00</v>
      </c>
      <c r="B137" s="6">
        <f>IF(COUNTIF(Feries,A137)&gt;0,"Férié",IF(WEEKDAY(A137,2)=6,"Samedi",IF(WEEKDAY(A137,2)=7,"Dimanche","Semaine")))</f>
        <v>0</v>
      </c>
      <c r="C137" s="8"/>
      <c r="D137" s="8"/>
      <c r="E137" s="11">
        <f>IF(AND(C137&lt;&gt;"",C137=C136),"Ligne 1 : même médecin deux jours de suite. ","")&amp;IF(AND(D137&lt;&gt;"",D137=D136),"Ligne 2 : même médecin deux jours de suite. ","")&amp;IF(AND(C137&lt;&gt;"",C137=D137),"Même médecin sur les deux lignes. ","")&amp;IF(AND(C137&lt;&gt;"",COUNTIFS(AbsMed,C137,AbsDu,"&lt;="&amp;A137,AbsAu,"&gt;="&amp;A137)&gt;0),C137&amp;" absent. ","")&amp;IF(AND(D137&lt;&gt;"",COUNTIFS(AbsMed,D137,AbsDu,"&lt;="&amp;A137,AbsAu,"&gt;="&amp;A137)&gt;0),D137&amp;" absent. ","")</f>
        <v>0</v>
      </c>
    </row>
    <row r="138" spans="1:5">
      <c r="A138" s="10">
        <f>Debut+136</f>
        <v>2027-05-17 00:00:00</v>
      </c>
      <c r="B138" s="6">
        <f>IF(COUNTIF(Feries,A138)&gt;0,"Férié",IF(WEEKDAY(A138,2)=6,"Samedi",IF(WEEKDAY(A138,2)=7,"Dimanche","Semaine")))</f>
        <v>0</v>
      </c>
      <c r="C138" s="8"/>
      <c r="D138" s="8"/>
      <c r="E138" s="11">
        <f>IF(AND(C138&lt;&gt;"",C138=C137),"Ligne 1 : même médecin deux jours de suite. ","")&amp;IF(AND(D138&lt;&gt;"",D138=D137),"Ligne 2 : même médecin deux jours de suite. ","")&amp;IF(AND(C138&lt;&gt;"",C138=D138),"Même médecin sur les deux lignes. ","")&amp;IF(AND(C138&lt;&gt;"",COUNTIFS(AbsMed,C138,AbsDu,"&lt;="&amp;A138,AbsAu,"&gt;="&amp;A138)&gt;0),C138&amp;" absent. ","")&amp;IF(AND(D138&lt;&gt;"",COUNTIFS(AbsMed,D138,AbsDu,"&lt;="&amp;A138,AbsAu,"&gt;="&amp;A138)&gt;0),D138&amp;" absent. ","")</f>
        <v>0</v>
      </c>
    </row>
    <row r="139" spans="1:5">
      <c r="A139" s="10">
        <f>Debut+137</f>
        <v>2027-05-18 00:00:00</v>
      </c>
      <c r="B139" s="6">
        <f>IF(COUNTIF(Feries,A139)&gt;0,"Férié",IF(WEEKDAY(A139,2)=6,"Samedi",IF(WEEKDAY(A139,2)=7,"Dimanche","Semaine")))</f>
        <v>0</v>
      </c>
      <c r="C139" s="8"/>
      <c r="D139" s="8"/>
      <c r="E139" s="11">
        <f>IF(AND(C139&lt;&gt;"",C139=C138),"Ligne 1 : même médecin deux jours de suite. ","")&amp;IF(AND(D139&lt;&gt;"",D139=D138),"Ligne 2 : même médecin deux jours de suite. ","")&amp;IF(AND(C139&lt;&gt;"",C139=D139),"Même médecin sur les deux lignes. ","")&amp;IF(AND(C139&lt;&gt;"",COUNTIFS(AbsMed,C139,AbsDu,"&lt;="&amp;A139,AbsAu,"&gt;="&amp;A139)&gt;0),C139&amp;" absent. ","")&amp;IF(AND(D139&lt;&gt;"",COUNTIFS(AbsMed,D139,AbsDu,"&lt;="&amp;A139,AbsAu,"&gt;="&amp;A139)&gt;0),D139&amp;" absent. ","")</f>
        <v>0</v>
      </c>
    </row>
    <row r="140" spans="1:5">
      <c r="A140" s="10">
        <f>Debut+138</f>
        <v>2027-05-19 00:00:00</v>
      </c>
      <c r="B140" s="6">
        <f>IF(COUNTIF(Feries,A140)&gt;0,"Férié",IF(WEEKDAY(A140,2)=6,"Samedi",IF(WEEKDAY(A140,2)=7,"Dimanche","Semaine")))</f>
        <v>0</v>
      </c>
      <c r="C140" s="8"/>
      <c r="D140" s="8"/>
      <c r="E140" s="11">
        <f>IF(AND(C140&lt;&gt;"",C140=C139),"Ligne 1 : même médecin deux jours de suite. ","")&amp;IF(AND(D140&lt;&gt;"",D140=D139),"Ligne 2 : même médecin deux jours de suite. ","")&amp;IF(AND(C140&lt;&gt;"",C140=D140),"Même médecin sur les deux lignes. ","")&amp;IF(AND(C140&lt;&gt;"",COUNTIFS(AbsMed,C140,AbsDu,"&lt;="&amp;A140,AbsAu,"&gt;="&amp;A140)&gt;0),C140&amp;" absent. ","")&amp;IF(AND(D140&lt;&gt;"",COUNTIFS(AbsMed,D140,AbsDu,"&lt;="&amp;A140,AbsAu,"&gt;="&amp;A140)&gt;0),D140&amp;" absent. ","")</f>
        <v>0</v>
      </c>
    </row>
    <row r="141" spans="1:5">
      <c r="A141" s="10">
        <f>Debut+139</f>
        <v>2027-05-20 00:00:00</v>
      </c>
      <c r="B141" s="6">
        <f>IF(COUNTIF(Feries,A141)&gt;0,"Férié",IF(WEEKDAY(A141,2)=6,"Samedi",IF(WEEKDAY(A141,2)=7,"Dimanche","Semaine")))</f>
        <v>0</v>
      </c>
      <c r="C141" s="8"/>
      <c r="D141" s="8"/>
      <c r="E141" s="11">
        <f>IF(AND(C141&lt;&gt;"",C141=C140),"Ligne 1 : même médecin deux jours de suite. ","")&amp;IF(AND(D141&lt;&gt;"",D141=D140),"Ligne 2 : même médecin deux jours de suite. ","")&amp;IF(AND(C141&lt;&gt;"",C141=D141),"Même médecin sur les deux lignes. ","")&amp;IF(AND(C141&lt;&gt;"",COUNTIFS(AbsMed,C141,AbsDu,"&lt;="&amp;A141,AbsAu,"&gt;="&amp;A141)&gt;0),C141&amp;" absent. ","")&amp;IF(AND(D141&lt;&gt;"",COUNTIFS(AbsMed,D141,AbsDu,"&lt;="&amp;A141,AbsAu,"&gt;="&amp;A141)&gt;0),D141&amp;" absent. ","")</f>
        <v>0</v>
      </c>
    </row>
    <row r="142" spans="1:5">
      <c r="A142" s="10">
        <f>Debut+140</f>
        <v>2027-05-21 00:00:00</v>
      </c>
      <c r="B142" s="6">
        <f>IF(COUNTIF(Feries,A142)&gt;0,"Férié",IF(WEEKDAY(A142,2)=6,"Samedi",IF(WEEKDAY(A142,2)=7,"Dimanche","Semaine")))</f>
        <v>0</v>
      </c>
      <c r="C142" s="8"/>
      <c r="D142" s="8"/>
      <c r="E142" s="11">
        <f>IF(AND(C142&lt;&gt;"",C142=C141),"Ligne 1 : même médecin deux jours de suite. ","")&amp;IF(AND(D142&lt;&gt;"",D142=D141),"Ligne 2 : même médecin deux jours de suite. ","")&amp;IF(AND(C142&lt;&gt;"",C142=D142),"Même médecin sur les deux lignes. ","")&amp;IF(AND(C142&lt;&gt;"",COUNTIFS(AbsMed,C142,AbsDu,"&lt;="&amp;A142,AbsAu,"&gt;="&amp;A142)&gt;0),C142&amp;" absent. ","")&amp;IF(AND(D142&lt;&gt;"",COUNTIFS(AbsMed,D142,AbsDu,"&lt;="&amp;A142,AbsAu,"&gt;="&amp;A142)&gt;0),D142&amp;" absent. ","")</f>
        <v>0</v>
      </c>
    </row>
    <row r="143" spans="1:5">
      <c r="A143" s="10">
        <f>Debut+141</f>
        <v>2027-05-22 00:00:00</v>
      </c>
      <c r="B143" s="6">
        <f>IF(COUNTIF(Feries,A143)&gt;0,"Férié",IF(WEEKDAY(A143,2)=6,"Samedi",IF(WEEKDAY(A143,2)=7,"Dimanche","Semaine")))</f>
        <v>0</v>
      </c>
      <c r="C143" s="8"/>
      <c r="D143" s="8"/>
      <c r="E143" s="11">
        <f>IF(AND(C143&lt;&gt;"",C143=C142),"Ligne 1 : même médecin deux jours de suite. ","")&amp;IF(AND(D143&lt;&gt;"",D143=D142),"Ligne 2 : même médecin deux jours de suite. ","")&amp;IF(AND(C143&lt;&gt;"",C143=D143),"Même médecin sur les deux lignes. ","")&amp;IF(AND(C143&lt;&gt;"",COUNTIFS(AbsMed,C143,AbsDu,"&lt;="&amp;A143,AbsAu,"&gt;="&amp;A143)&gt;0),C143&amp;" absent. ","")&amp;IF(AND(D143&lt;&gt;"",COUNTIFS(AbsMed,D143,AbsDu,"&lt;="&amp;A143,AbsAu,"&gt;="&amp;A143)&gt;0),D143&amp;" absent. ","")</f>
        <v>0</v>
      </c>
    </row>
    <row r="144" spans="1:5">
      <c r="A144" s="10">
        <f>Debut+142</f>
        <v>2027-05-23 00:00:00</v>
      </c>
      <c r="B144" s="6">
        <f>IF(COUNTIF(Feries,A144)&gt;0,"Férié",IF(WEEKDAY(A144,2)=6,"Samedi",IF(WEEKDAY(A144,2)=7,"Dimanche","Semaine")))</f>
        <v>0</v>
      </c>
      <c r="C144" s="8"/>
      <c r="D144" s="8"/>
      <c r="E144" s="11">
        <f>IF(AND(C144&lt;&gt;"",C144=C143),"Ligne 1 : même médecin deux jours de suite. ","")&amp;IF(AND(D144&lt;&gt;"",D144=D143),"Ligne 2 : même médecin deux jours de suite. ","")&amp;IF(AND(C144&lt;&gt;"",C144=D144),"Même médecin sur les deux lignes. ","")&amp;IF(AND(C144&lt;&gt;"",COUNTIFS(AbsMed,C144,AbsDu,"&lt;="&amp;A144,AbsAu,"&gt;="&amp;A144)&gt;0),C144&amp;" absent. ","")&amp;IF(AND(D144&lt;&gt;"",COUNTIFS(AbsMed,D144,AbsDu,"&lt;="&amp;A144,AbsAu,"&gt;="&amp;A144)&gt;0),D144&amp;" absent. ","")</f>
        <v>0</v>
      </c>
    </row>
    <row r="145" spans="1:5">
      <c r="A145" s="10">
        <f>Debut+143</f>
        <v>2027-05-24 00:00:00</v>
      </c>
      <c r="B145" s="6">
        <f>IF(COUNTIF(Feries,A145)&gt;0,"Férié",IF(WEEKDAY(A145,2)=6,"Samedi",IF(WEEKDAY(A145,2)=7,"Dimanche","Semaine")))</f>
        <v>0</v>
      </c>
      <c r="C145" s="8"/>
      <c r="D145" s="8"/>
      <c r="E145" s="11">
        <f>IF(AND(C145&lt;&gt;"",C145=C144),"Ligne 1 : même médecin deux jours de suite. ","")&amp;IF(AND(D145&lt;&gt;"",D145=D144),"Ligne 2 : même médecin deux jours de suite. ","")&amp;IF(AND(C145&lt;&gt;"",C145=D145),"Même médecin sur les deux lignes. ","")&amp;IF(AND(C145&lt;&gt;"",COUNTIFS(AbsMed,C145,AbsDu,"&lt;="&amp;A145,AbsAu,"&gt;="&amp;A145)&gt;0),C145&amp;" absent. ","")&amp;IF(AND(D145&lt;&gt;"",COUNTIFS(AbsMed,D145,AbsDu,"&lt;="&amp;A145,AbsAu,"&gt;="&amp;A145)&gt;0),D145&amp;" absent. ","")</f>
        <v>0</v>
      </c>
    </row>
    <row r="146" spans="1:5">
      <c r="A146" s="10">
        <f>Debut+144</f>
        <v>2027-05-25 00:00:00</v>
      </c>
      <c r="B146" s="6">
        <f>IF(COUNTIF(Feries,A146)&gt;0,"Férié",IF(WEEKDAY(A146,2)=6,"Samedi",IF(WEEKDAY(A146,2)=7,"Dimanche","Semaine")))</f>
        <v>0</v>
      </c>
      <c r="C146" s="8"/>
      <c r="D146" s="8"/>
      <c r="E146" s="11">
        <f>IF(AND(C146&lt;&gt;"",C146=C145),"Ligne 1 : même médecin deux jours de suite. ","")&amp;IF(AND(D146&lt;&gt;"",D146=D145),"Ligne 2 : même médecin deux jours de suite. ","")&amp;IF(AND(C146&lt;&gt;"",C146=D146),"Même médecin sur les deux lignes. ","")&amp;IF(AND(C146&lt;&gt;"",COUNTIFS(AbsMed,C146,AbsDu,"&lt;="&amp;A146,AbsAu,"&gt;="&amp;A146)&gt;0),C146&amp;" absent. ","")&amp;IF(AND(D146&lt;&gt;"",COUNTIFS(AbsMed,D146,AbsDu,"&lt;="&amp;A146,AbsAu,"&gt;="&amp;A146)&gt;0),D146&amp;" absent. ","")</f>
        <v>0</v>
      </c>
    </row>
    <row r="147" spans="1:5">
      <c r="A147" s="10">
        <f>Debut+145</f>
        <v>2027-05-26 00:00:00</v>
      </c>
      <c r="B147" s="6">
        <f>IF(COUNTIF(Feries,A147)&gt;0,"Férié",IF(WEEKDAY(A147,2)=6,"Samedi",IF(WEEKDAY(A147,2)=7,"Dimanche","Semaine")))</f>
        <v>0</v>
      </c>
      <c r="C147" s="8"/>
      <c r="D147" s="8"/>
      <c r="E147" s="11">
        <f>IF(AND(C147&lt;&gt;"",C147=C146),"Ligne 1 : même médecin deux jours de suite. ","")&amp;IF(AND(D147&lt;&gt;"",D147=D146),"Ligne 2 : même médecin deux jours de suite. ","")&amp;IF(AND(C147&lt;&gt;"",C147=D147),"Même médecin sur les deux lignes. ","")&amp;IF(AND(C147&lt;&gt;"",COUNTIFS(AbsMed,C147,AbsDu,"&lt;="&amp;A147,AbsAu,"&gt;="&amp;A147)&gt;0),C147&amp;" absent. ","")&amp;IF(AND(D147&lt;&gt;"",COUNTIFS(AbsMed,D147,AbsDu,"&lt;="&amp;A147,AbsAu,"&gt;="&amp;A147)&gt;0),D147&amp;" absent. ","")</f>
        <v>0</v>
      </c>
    </row>
    <row r="148" spans="1:5">
      <c r="A148" s="10">
        <f>Debut+146</f>
        <v>2027-05-27 00:00:00</v>
      </c>
      <c r="B148" s="6">
        <f>IF(COUNTIF(Feries,A148)&gt;0,"Férié",IF(WEEKDAY(A148,2)=6,"Samedi",IF(WEEKDAY(A148,2)=7,"Dimanche","Semaine")))</f>
        <v>0</v>
      </c>
      <c r="C148" s="8"/>
      <c r="D148" s="8"/>
      <c r="E148" s="11">
        <f>IF(AND(C148&lt;&gt;"",C148=C147),"Ligne 1 : même médecin deux jours de suite. ","")&amp;IF(AND(D148&lt;&gt;"",D148=D147),"Ligne 2 : même médecin deux jours de suite. ","")&amp;IF(AND(C148&lt;&gt;"",C148=D148),"Même médecin sur les deux lignes. ","")&amp;IF(AND(C148&lt;&gt;"",COUNTIFS(AbsMed,C148,AbsDu,"&lt;="&amp;A148,AbsAu,"&gt;="&amp;A148)&gt;0),C148&amp;" absent. ","")&amp;IF(AND(D148&lt;&gt;"",COUNTIFS(AbsMed,D148,AbsDu,"&lt;="&amp;A148,AbsAu,"&gt;="&amp;A148)&gt;0),D148&amp;" absent. ","")</f>
        <v>0</v>
      </c>
    </row>
    <row r="149" spans="1:5">
      <c r="A149" s="10">
        <f>Debut+147</f>
        <v>2027-05-28 00:00:00</v>
      </c>
      <c r="B149" s="6">
        <f>IF(COUNTIF(Feries,A149)&gt;0,"Férié",IF(WEEKDAY(A149,2)=6,"Samedi",IF(WEEKDAY(A149,2)=7,"Dimanche","Semaine")))</f>
        <v>0</v>
      </c>
      <c r="C149" s="8"/>
      <c r="D149" s="8"/>
      <c r="E149" s="11">
        <f>IF(AND(C149&lt;&gt;"",C149=C148),"Ligne 1 : même médecin deux jours de suite. ","")&amp;IF(AND(D149&lt;&gt;"",D149=D148),"Ligne 2 : même médecin deux jours de suite. ","")&amp;IF(AND(C149&lt;&gt;"",C149=D149),"Même médecin sur les deux lignes. ","")&amp;IF(AND(C149&lt;&gt;"",COUNTIFS(AbsMed,C149,AbsDu,"&lt;="&amp;A149,AbsAu,"&gt;="&amp;A149)&gt;0),C149&amp;" absent. ","")&amp;IF(AND(D149&lt;&gt;"",COUNTIFS(AbsMed,D149,AbsDu,"&lt;="&amp;A149,AbsAu,"&gt;="&amp;A149)&gt;0),D149&amp;" absent. ","")</f>
        <v>0</v>
      </c>
    </row>
    <row r="150" spans="1:5">
      <c r="A150" s="10">
        <f>Debut+148</f>
        <v>2027-05-29 00:00:00</v>
      </c>
      <c r="B150" s="6">
        <f>IF(COUNTIF(Feries,A150)&gt;0,"Férié",IF(WEEKDAY(A150,2)=6,"Samedi",IF(WEEKDAY(A150,2)=7,"Dimanche","Semaine")))</f>
        <v>0</v>
      </c>
      <c r="C150" s="8"/>
      <c r="D150" s="8"/>
      <c r="E150" s="11">
        <f>IF(AND(C150&lt;&gt;"",C150=C149),"Ligne 1 : même médecin deux jours de suite. ","")&amp;IF(AND(D150&lt;&gt;"",D150=D149),"Ligne 2 : même médecin deux jours de suite. ","")&amp;IF(AND(C150&lt;&gt;"",C150=D150),"Même médecin sur les deux lignes. ","")&amp;IF(AND(C150&lt;&gt;"",COUNTIFS(AbsMed,C150,AbsDu,"&lt;="&amp;A150,AbsAu,"&gt;="&amp;A150)&gt;0),C150&amp;" absent. ","")&amp;IF(AND(D150&lt;&gt;"",COUNTIFS(AbsMed,D150,AbsDu,"&lt;="&amp;A150,AbsAu,"&gt;="&amp;A150)&gt;0),D150&amp;" absent. ","")</f>
        <v>0</v>
      </c>
    </row>
    <row r="151" spans="1:5">
      <c r="A151" s="10">
        <f>Debut+149</f>
        <v>2027-05-30 00:00:00</v>
      </c>
      <c r="B151" s="6">
        <f>IF(COUNTIF(Feries,A151)&gt;0,"Férié",IF(WEEKDAY(A151,2)=6,"Samedi",IF(WEEKDAY(A151,2)=7,"Dimanche","Semaine")))</f>
        <v>0</v>
      </c>
      <c r="C151" s="8"/>
      <c r="D151" s="8"/>
      <c r="E151" s="11">
        <f>IF(AND(C151&lt;&gt;"",C151=C150),"Ligne 1 : même médecin deux jours de suite. ","")&amp;IF(AND(D151&lt;&gt;"",D151=D150),"Ligne 2 : même médecin deux jours de suite. ","")&amp;IF(AND(C151&lt;&gt;"",C151=D151),"Même médecin sur les deux lignes. ","")&amp;IF(AND(C151&lt;&gt;"",COUNTIFS(AbsMed,C151,AbsDu,"&lt;="&amp;A151,AbsAu,"&gt;="&amp;A151)&gt;0),C151&amp;" absent. ","")&amp;IF(AND(D151&lt;&gt;"",COUNTIFS(AbsMed,D151,AbsDu,"&lt;="&amp;A151,AbsAu,"&gt;="&amp;A151)&gt;0),D151&amp;" absent. ","")</f>
        <v>0</v>
      </c>
    </row>
    <row r="152" spans="1:5">
      <c r="A152" s="10">
        <f>Debut+150</f>
        <v>2027-05-31 00:00:00</v>
      </c>
      <c r="B152" s="6">
        <f>IF(COUNTIF(Feries,A152)&gt;0,"Férié",IF(WEEKDAY(A152,2)=6,"Samedi",IF(WEEKDAY(A152,2)=7,"Dimanche","Semaine")))</f>
        <v>0</v>
      </c>
      <c r="C152" s="8"/>
      <c r="D152" s="8"/>
      <c r="E152" s="11">
        <f>IF(AND(C152&lt;&gt;"",C152=C151),"Ligne 1 : même médecin deux jours de suite. ","")&amp;IF(AND(D152&lt;&gt;"",D152=D151),"Ligne 2 : même médecin deux jours de suite. ","")&amp;IF(AND(C152&lt;&gt;"",C152=D152),"Même médecin sur les deux lignes. ","")&amp;IF(AND(C152&lt;&gt;"",COUNTIFS(AbsMed,C152,AbsDu,"&lt;="&amp;A152,AbsAu,"&gt;="&amp;A152)&gt;0),C152&amp;" absent. ","")&amp;IF(AND(D152&lt;&gt;"",COUNTIFS(AbsMed,D152,AbsDu,"&lt;="&amp;A152,AbsAu,"&gt;="&amp;A152)&gt;0),D152&amp;" absent. ","")</f>
        <v>0</v>
      </c>
    </row>
    <row r="153" spans="1:5">
      <c r="A153" s="10">
        <f>Debut+151</f>
        <v>2027-06-01 00:00:00</v>
      </c>
      <c r="B153" s="6">
        <f>IF(COUNTIF(Feries,A153)&gt;0,"Férié",IF(WEEKDAY(A153,2)=6,"Samedi",IF(WEEKDAY(A153,2)=7,"Dimanche","Semaine")))</f>
        <v>0</v>
      </c>
      <c r="C153" s="8"/>
      <c r="D153" s="8"/>
      <c r="E153" s="11">
        <f>IF(AND(C153&lt;&gt;"",C153=C152),"Ligne 1 : même médecin deux jours de suite. ","")&amp;IF(AND(D153&lt;&gt;"",D153=D152),"Ligne 2 : même médecin deux jours de suite. ","")&amp;IF(AND(C153&lt;&gt;"",C153=D153),"Même médecin sur les deux lignes. ","")&amp;IF(AND(C153&lt;&gt;"",COUNTIFS(AbsMed,C153,AbsDu,"&lt;="&amp;A153,AbsAu,"&gt;="&amp;A153)&gt;0),C153&amp;" absent. ","")&amp;IF(AND(D153&lt;&gt;"",COUNTIFS(AbsMed,D153,AbsDu,"&lt;="&amp;A153,AbsAu,"&gt;="&amp;A153)&gt;0),D153&amp;" absent. ","")</f>
        <v>0</v>
      </c>
    </row>
    <row r="154" spans="1:5">
      <c r="A154" s="10">
        <f>Debut+152</f>
        <v>2027-06-02 00:00:00</v>
      </c>
      <c r="B154" s="6">
        <f>IF(COUNTIF(Feries,A154)&gt;0,"Férié",IF(WEEKDAY(A154,2)=6,"Samedi",IF(WEEKDAY(A154,2)=7,"Dimanche","Semaine")))</f>
        <v>0</v>
      </c>
      <c r="C154" s="8"/>
      <c r="D154" s="8"/>
      <c r="E154" s="11">
        <f>IF(AND(C154&lt;&gt;"",C154=C153),"Ligne 1 : même médecin deux jours de suite. ","")&amp;IF(AND(D154&lt;&gt;"",D154=D153),"Ligne 2 : même médecin deux jours de suite. ","")&amp;IF(AND(C154&lt;&gt;"",C154=D154),"Même médecin sur les deux lignes. ","")&amp;IF(AND(C154&lt;&gt;"",COUNTIFS(AbsMed,C154,AbsDu,"&lt;="&amp;A154,AbsAu,"&gt;="&amp;A154)&gt;0),C154&amp;" absent. ","")&amp;IF(AND(D154&lt;&gt;"",COUNTIFS(AbsMed,D154,AbsDu,"&lt;="&amp;A154,AbsAu,"&gt;="&amp;A154)&gt;0),D154&amp;" absent. ","")</f>
        <v>0</v>
      </c>
    </row>
    <row r="155" spans="1:5">
      <c r="A155" s="10">
        <f>Debut+153</f>
        <v>2027-06-03 00:00:00</v>
      </c>
      <c r="B155" s="6">
        <f>IF(COUNTIF(Feries,A155)&gt;0,"Férié",IF(WEEKDAY(A155,2)=6,"Samedi",IF(WEEKDAY(A155,2)=7,"Dimanche","Semaine")))</f>
        <v>0</v>
      </c>
      <c r="C155" s="8"/>
      <c r="D155" s="8"/>
      <c r="E155" s="11">
        <f>IF(AND(C155&lt;&gt;"",C155=C154),"Ligne 1 : même médecin deux jours de suite. ","")&amp;IF(AND(D155&lt;&gt;"",D155=D154),"Ligne 2 : même médecin deux jours de suite. ","")&amp;IF(AND(C155&lt;&gt;"",C155=D155),"Même médecin sur les deux lignes. ","")&amp;IF(AND(C155&lt;&gt;"",COUNTIFS(AbsMed,C155,AbsDu,"&lt;="&amp;A155,AbsAu,"&gt;="&amp;A155)&gt;0),C155&amp;" absent. ","")&amp;IF(AND(D155&lt;&gt;"",COUNTIFS(AbsMed,D155,AbsDu,"&lt;="&amp;A155,AbsAu,"&gt;="&amp;A155)&gt;0),D155&amp;" absent. ","")</f>
        <v>0</v>
      </c>
    </row>
    <row r="156" spans="1:5">
      <c r="A156" s="10">
        <f>Debut+154</f>
        <v>2027-06-04 00:00:00</v>
      </c>
      <c r="B156" s="6">
        <f>IF(COUNTIF(Feries,A156)&gt;0,"Férié",IF(WEEKDAY(A156,2)=6,"Samedi",IF(WEEKDAY(A156,2)=7,"Dimanche","Semaine")))</f>
        <v>0</v>
      </c>
      <c r="C156" s="8"/>
      <c r="D156" s="8"/>
      <c r="E156" s="11">
        <f>IF(AND(C156&lt;&gt;"",C156=C155),"Ligne 1 : même médecin deux jours de suite. ","")&amp;IF(AND(D156&lt;&gt;"",D156=D155),"Ligne 2 : même médecin deux jours de suite. ","")&amp;IF(AND(C156&lt;&gt;"",C156=D156),"Même médecin sur les deux lignes. ","")&amp;IF(AND(C156&lt;&gt;"",COUNTIFS(AbsMed,C156,AbsDu,"&lt;="&amp;A156,AbsAu,"&gt;="&amp;A156)&gt;0),C156&amp;" absent. ","")&amp;IF(AND(D156&lt;&gt;"",COUNTIFS(AbsMed,D156,AbsDu,"&lt;="&amp;A156,AbsAu,"&gt;="&amp;A156)&gt;0),D156&amp;" absent. ","")</f>
        <v>0</v>
      </c>
    </row>
    <row r="157" spans="1:5">
      <c r="A157" s="10">
        <f>Debut+155</f>
        <v>2027-06-05 00:00:00</v>
      </c>
      <c r="B157" s="6">
        <f>IF(COUNTIF(Feries,A157)&gt;0,"Férié",IF(WEEKDAY(A157,2)=6,"Samedi",IF(WEEKDAY(A157,2)=7,"Dimanche","Semaine")))</f>
        <v>0</v>
      </c>
      <c r="C157" s="8"/>
      <c r="D157" s="8"/>
      <c r="E157" s="11">
        <f>IF(AND(C157&lt;&gt;"",C157=C156),"Ligne 1 : même médecin deux jours de suite. ","")&amp;IF(AND(D157&lt;&gt;"",D157=D156),"Ligne 2 : même médecin deux jours de suite. ","")&amp;IF(AND(C157&lt;&gt;"",C157=D157),"Même médecin sur les deux lignes. ","")&amp;IF(AND(C157&lt;&gt;"",COUNTIFS(AbsMed,C157,AbsDu,"&lt;="&amp;A157,AbsAu,"&gt;="&amp;A157)&gt;0),C157&amp;" absent. ","")&amp;IF(AND(D157&lt;&gt;"",COUNTIFS(AbsMed,D157,AbsDu,"&lt;="&amp;A157,AbsAu,"&gt;="&amp;A157)&gt;0),D157&amp;" absent. ","")</f>
        <v>0</v>
      </c>
    </row>
    <row r="158" spans="1:5">
      <c r="A158" s="10">
        <f>Debut+156</f>
        <v>2027-06-06 00:00:00</v>
      </c>
      <c r="B158" s="6">
        <f>IF(COUNTIF(Feries,A158)&gt;0,"Férié",IF(WEEKDAY(A158,2)=6,"Samedi",IF(WEEKDAY(A158,2)=7,"Dimanche","Semaine")))</f>
        <v>0</v>
      </c>
      <c r="C158" s="8"/>
      <c r="D158" s="8"/>
      <c r="E158" s="11">
        <f>IF(AND(C158&lt;&gt;"",C158=C157),"Ligne 1 : même médecin deux jours de suite. ","")&amp;IF(AND(D158&lt;&gt;"",D158=D157),"Ligne 2 : même médecin deux jours de suite. ","")&amp;IF(AND(C158&lt;&gt;"",C158=D158),"Même médecin sur les deux lignes. ","")&amp;IF(AND(C158&lt;&gt;"",COUNTIFS(AbsMed,C158,AbsDu,"&lt;="&amp;A158,AbsAu,"&gt;="&amp;A158)&gt;0),C158&amp;" absent. ","")&amp;IF(AND(D158&lt;&gt;"",COUNTIFS(AbsMed,D158,AbsDu,"&lt;="&amp;A158,AbsAu,"&gt;="&amp;A158)&gt;0),D158&amp;" absent. ","")</f>
        <v>0</v>
      </c>
    </row>
    <row r="159" spans="1:5">
      <c r="A159" s="10">
        <f>Debut+157</f>
        <v>2027-06-07 00:00:00</v>
      </c>
      <c r="B159" s="6">
        <f>IF(COUNTIF(Feries,A159)&gt;0,"Férié",IF(WEEKDAY(A159,2)=6,"Samedi",IF(WEEKDAY(A159,2)=7,"Dimanche","Semaine")))</f>
        <v>0</v>
      </c>
      <c r="C159" s="8"/>
      <c r="D159" s="8"/>
      <c r="E159" s="11">
        <f>IF(AND(C159&lt;&gt;"",C159=C158),"Ligne 1 : même médecin deux jours de suite. ","")&amp;IF(AND(D159&lt;&gt;"",D159=D158),"Ligne 2 : même médecin deux jours de suite. ","")&amp;IF(AND(C159&lt;&gt;"",C159=D159),"Même médecin sur les deux lignes. ","")&amp;IF(AND(C159&lt;&gt;"",COUNTIFS(AbsMed,C159,AbsDu,"&lt;="&amp;A159,AbsAu,"&gt;="&amp;A159)&gt;0),C159&amp;" absent. ","")&amp;IF(AND(D159&lt;&gt;"",COUNTIFS(AbsMed,D159,AbsDu,"&lt;="&amp;A159,AbsAu,"&gt;="&amp;A159)&gt;0),D159&amp;" absent. ","")</f>
        <v>0</v>
      </c>
    </row>
    <row r="160" spans="1:5">
      <c r="A160" s="10">
        <f>Debut+158</f>
        <v>2027-06-08 00:00:00</v>
      </c>
      <c r="B160" s="6">
        <f>IF(COUNTIF(Feries,A160)&gt;0,"Férié",IF(WEEKDAY(A160,2)=6,"Samedi",IF(WEEKDAY(A160,2)=7,"Dimanche","Semaine")))</f>
        <v>0</v>
      </c>
      <c r="C160" s="8"/>
      <c r="D160" s="8"/>
      <c r="E160" s="11">
        <f>IF(AND(C160&lt;&gt;"",C160=C159),"Ligne 1 : même médecin deux jours de suite. ","")&amp;IF(AND(D160&lt;&gt;"",D160=D159),"Ligne 2 : même médecin deux jours de suite. ","")&amp;IF(AND(C160&lt;&gt;"",C160=D160),"Même médecin sur les deux lignes. ","")&amp;IF(AND(C160&lt;&gt;"",COUNTIFS(AbsMed,C160,AbsDu,"&lt;="&amp;A160,AbsAu,"&gt;="&amp;A160)&gt;0),C160&amp;" absent. ","")&amp;IF(AND(D160&lt;&gt;"",COUNTIFS(AbsMed,D160,AbsDu,"&lt;="&amp;A160,AbsAu,"&gt;="&amp;A160)&gt;0),D160&amp;" absent. ","")</f>
        <v>0</v>
      </c>
    </row>
    <row r="161" spans="1:5">
      <c r="A161" s="10">
        <f>Debut+159</f>
        <v>2027-06-09 00:00:00</v>
      </c>
      <c r="B161" s="6">
        <f>IF(COUNTIF(Feries,A161)&gt;0,"Férié",IF(WEEKDAY(A161,2)=6,"Samedi",IF(WEEKDAY(A161,2)=7,"Dimanche","Semaine")))</f>
        <v>0</v>
      </c>
      <c r="C161" s="8"/>
      <c r="D161" s="8"/>
      <c r="E161" s="11">
        <f>IF(AND(C161&lt;&gt;"",C161=C160),"Ligne 1 : même médecin deux jours de suite. ","")&amp;IF(AND(D161&lt;&gt;"",D161=D160),"Ligne 2 : même médecin deux jours de suite. ","")&amp;IF(AND(C161&lt;&gt;"",C161=D161),"Même médecin sur les deux lignes. ","")&amp;IF(AND(C161&lt;&gt;"",COUNTIFS(AbsMed,C161,AbsDu,"&lt;="&amp;A161,AbsAu,"&gt;="&amp;A161)&gt;0),C161&amp;" absent. ","")&amp;IF(AND(D161&lt;&gt;"",COUNTIFS(AbsMed,D161,AbsDu,"&lt;="&amp;A161,AbsAu,"&gt;="&amp;A161)&gt;0),D161&amp;" absent. ","")</f>
        <v>0</v>
      </c>
    </row>
    <row r="162" spans="1:5">
      <c r="A162" s="10">
        <f>Debut+160</f>
        <v>2027-06-10 00:00:00</v>
      </c>
      <c r="B162" s="6">
        <f>IF(COUNTIF(Feries,A162)&gt;0,"Férié",IF(WEEKDAY(A162,2)=6,"Samedi",IF(WEEKDAY(A162,2)=7,"Dimanche","Semaine")))</f>
        <v>0</v>
      </c>
      <c r="C162" s="8"/>
      <c r="D162" s="8"/>
      <c r="E162" s="11">
        <f>IF(AND(C162&lt;&gt;"",C162=C161),"Ligne 1 : même médecin deux jours de suite. ","")&amp;IF(AND(D162&lt;&gt;"",D162=D161),"Ligne 2 : même médecin deux jours de suite. ","")&amp;IF(AND(C162&lt;&gt;"",C162=D162),"Même médecin sur les deux lignes. ","")&amp;IF(AND(C162&lt;&gt;"",COUNTIFS(AbsMed,C162,AbsDu,"&lt;="&amp;A162,AbsAu,"&gt;="&amp;A162)&gt;0),C162&amp;" absent. ","")&amp;IF(AND(D162&lt;&gt;"",COUNTIFS(AbsMed,D162,AbsDu,"&lt;="&amp;A162,AbsAu,"&gt;="&amp;A162)&gt;0),D162&amp;" absent. ","")</f>
        <v>0</v>
      </c>
    </row>
    <row r="163" spans="1:5">
      <c r="A163" s="10">
        <f>Debut+161</f>
        <v>2027-06-11 00:00:00</v>
      </c>
      <c r="B163" s="6">
        <f>IF(COUNTIF(Feries,A163)&gt;0,"Férié",IF(WEEKDAY(A163,2)=6,"Samedi",IF(WEEKDAY(A163,2)=7,"Dimanche","Semaine")))</f>
        <v>0</v>
      </c>
      <c r="C163" s="8"/>
      <c r="D163" s="8"/>
      <c r="E163" s="11">
        <f>IF(AND(C163&lt;&gt;"",C163=C162),"Ligne 1 : même médecin deux jours de suite. ","")&amp;IF(AND(D163&lt;&gt;"",D163=D162),"Ligne 2 : même médecin deux jours de suite. ","")&amp;IF(AND(C163&lt;&gt;"",C163=D163),"Même médecin sur les deux lignes. ","")&amp;IF(AND(C163&lt;&gt;"",COUNTIFS(AbsMed,C163,AbsDu,"&lt;="&amp;A163,AbsAu,"&gt;="&amp;A163)&gt;0),C163&amp;" absent. ","")&amp;IF(AND(D163&lt;&gt;"",COUNTIFS(AbsMed,D163,AbsDu,"&lt;="&amp;A163,AbsAu,"&gt;="&amp;A163)&gt;0),D163&amp;" absent. ","")</f>
        <v>0</v>
      </c>
    </row>
    <row r="164" spans="1:5">
      <c r="A164" s="10">
        <f>Debut+162</f>
        <v>2027-06-12 00:00:00</v>
      </c>
      <c r="B164" s="6">
        <f>IF(COUNTIF(Feries,A164)&gt;0,"Férié",IF(WEEKDAY(A164,2)=6,"Samedi",IF(WEEKDAY(A164,2)=7,"Dimanche","Semaine")))</f>
        <v>0</v>
      </c>
      <c r="C164" s="8"/>
      <c r="D164" s="8"/>
      <c r="E164" s="11">
        <f>IF(AND(C164&lt;&gt;"",C164=C163),"Ligne 1 : même médecin deux jours de suite. ","")&amp;IF(AND(D164&lt;&gt;"",D164=D163),"Ligne 2 : même médecin deux jours de suite. ","")&amp;IF(AND(C164&lt;&gt;"",C164=D164),"Même médecin sur les deux lignes. ","")&amp;IF(AND(C164&lt;&gt;"",COUNTIFS(AbsMed,C164,AbsDu,"&lt;="&amp;A164,AbsAu,"&gt;="&amp;A164)&gt;0),C164&amp;" absent. ","")&amp;IF(AND(D164&lt;&gt;"",COUNTIFS(AbsMed,D164,AbsDu,"&lt;="&amp;A164,AbsAu,"&gt;="&amp;A164)&gt;0),D164&amp;" absent. ","")</f>
        <v>0</v>
      </c>
    </row>
    <row r="165" spans="1:5">
      <c r="A165" s="10">
        <f>Debut+163</f>
        <v>2027-06-13 00:00:00</v>
      </c>
      <c r="B165" s="6">
        <f>IF(COUNTIF(Feries,A165)&gt;0,"Férié",IF(WEEKDAY(A165,2)=6,"Samedi",IF(WEEKDAY(A165,2)=7,"Dimanche","Semaine")))</f>
        <v>0</v>
      </c>
      <c r="C165" s="8"/>
      <c r="D165" s="8"/>
      <c r="E165" s="11">
        <f>IF(AND(C165&lt;&gt;"",C165=C164),"Ligne 1 : même médecin deux jours de suite. ","")&amp;IF(AND(D165&lt;&gt;"",D165=D164),"Ligne 2 : même médecin deux jours de suite. ","")&amp;IF(AND(C165&lt;&gt;"",C165=D165),"Même médecin sur les deux lignes. ","")&amp;IF(AND(C165&lt;&gt;"",COUNTIFS(AbsMed,C165,AbsDu,"&lt;="&amp;A165,AbsAu,"&gt;="&amp;A165)&gt;0),C165&amp;" absent. ","")&amp;IF(AND(D165&lt;&gt;"",COUNTIFS(AbsMed,D165,AbsDu,"&lt;="&amp;A165,AbsAu,"&gt;="&amp;A165)&gt;0),D165&amp;" absent. ","")</f>
        <v>0</v>
      </c>
    </row>
    <row r="166" spans="1:5">
      <c r="A166" s="10">
        <f>Debut+164</f>
        <v>2027-06-14 00:00:00</v>
      </c>
      <c r="B166" s="6">
        <f>IF(COUNTIF(Feries,A166)&gt;0,"Férié",IF(WEEKDAY(A166,2)=6,"Samedi",IF(WEEKDAY(A166,2)=7,"Dimanche","Semaine")))</f>
        <v>0</v>
      </c>
      <c r="C166" s="8"/>
      <c r="D166" s="8"/>
      <c r="E166" s="11">
        <f>IF(AND(C166&lt;&gt;"",C166=C165),"Ligne 1 : même médecin deux jours de suite. ","")&amp;IF(AND(D166&lt;&gt;"",D166=D165),"Ligne 2 : même médecin deux jours de suite. ","")&amp;IF(AND(C166&lt;&gt;"",C166=D166),"Même médecin sur les deux lignes. ","")&amp;IF(AND(C166&lt;&gt;"",COUNTIFS(AbsMed,C166,AbsDu,"&lt;="&amp;A166,AbsAu,"&gt;="&amp;A166)&gt;0),C166&amp;" absent. ","")&amp;IF(AND(D166&lt;&gt;"",COUNTIFS(AbsMed,D166,AbsDu,"&lt;="&amp;A166,AbsAu,"&gt;="&amp;A166)&gt;0),D166&amp;" absent. ","")</f>
        <v>0</v>
      </c>
    </row>
    <row r="167" spans="1:5">
      <c r="A167" s="10">
        <f>Debut+165</f>
        <v>2027-06-15 00:00:00</v>
      </c>
      <c r="B167" s="6">
        <f>IF(COUNTIF(Feries,A167)&gt;0,"Férié",IF(WEEKDAY(A167,2)=6,"Samedi",IF(WEEKDAY(A167,2)=7,"Dimanche","Semaine")))</f>
        <v>0</v>
      </c>
      <c r="C167" s="8"/>
      <c r="D167" s="8"/>
      <c r="E167" s="11">
        <f>IF(AND(C167&lt;&gt;"",C167=C166),"Ligne 1 : même médecin deux jours de suite. ","")&amp;IF(AND(D167&lt;&gt;"",D167=D166),"Ligne 2 : même médecin deux jours de suite. ","")&amp;IF(AND(C167&lt;&gt;"",C167=D167),"Même médecin sur les deux lignes. ","")&amp;IF(AND(C167&lt;&gt;"",COUNTIFS(AbsMed,C167,AbsDu,"&lt;="&amp;A167,AbsAu,"&gt;="&amp;A167)&gt;0),C167&amp;" absent. ","")&amp;IF(AND(D167&lt;&gt;"",COUNTIFS(AbsMed,D167,AbsDu,"&lt;="&amp;A167,AbsAu,"&gt;="&amp;A167)&gt;0),D167&amp;" absent. ","")</f>
        <v>0</v>
      </c>
    </row>
    <row r="168" spans="1:5">
      <c r="A168" s="10">
        <f>Debut+166</f>
        <v>2027-06-16 00:00:00</v>
      </c>
      <c r="B168" s="6">
        <f>IF(COUNTIF(Feries,A168)&gt;0,"Férié",IF(WEEKDAY(A168,2)=6,"Samedi",IF(WEEKDAY(A168,2)=7,"Dimanche","Semaine")))</f>
        <v>0</v>
      </c>
      <c r="C168" s="8"/>
      <c r="D168" s="8"/>
      <c r="E168" s="11">
        <f>IF(AND(C168&lt;&gt;"",C168=C167),"Ligne 1 : même médecin deux jours de suite. ","")&amp;IF(AND(D168&lt;&gt;"",D168=D167),"Ligne 2 : même médecin deux jours de suite. ","")&amp;IF(AND(C168&lt;&gt;"",C168=D168),"Même médecin sur les deux lignes. ","")&amp;IF(AND(C168&lt;&gt;"",COUNTIFS(AbsMed,C168,AbsDu,"&lt;="&amp;A168,AbsAu,"&gt;="&amp;A168)&gt;0),C168&amp;" absent. ","")&amp;IF(AND(D168&lt;&gt;"",COUNTIFS(AbsMed,D168,AbsDu,"&lt;="&amp;A168,AbsAu,"&gt;="&amp;A168)&gt;0),D168&amp;" absent. ","")</f>
        <v>0</v>
      </c>
    </row>
    <row r="169" spans="1:5">
      <c r="A169" s="10">
        <f>Debut+167</f>
        <v>2027-06-17 00:00:00</v>
      </c>
      <c r="B169" s="6">
        <f>IF(COUNTIF(Feries,A169)&gt;0,"Férié",IF(WEEKDAY(A169,2)=6,"Samedi",IF(WEEKDAY(A169,2)=7,"Dimanche","Semaine")))</f>
        <v>0</v>
      </c>
      <c r="C169" s="8"/>
      <c r="D169" s="8"/>
      <c r="E169" s="11">
        <f>IF(AND(C169&lt;&gt;"",C169=C168),"Ligne 1 : même médecin deux jours de suite. ","")&amp;IF(AND(D169&lt;&gt;"",D169=D168),"Ligne 2 : même médecin deux jours de suite. ","")&amp;IF(AND(C169&lt;&gt;"",C169=D169),"Même médecin sur les deux lignes. ","")&amp;IF(AND(C169&lt;&gt;"",COUNTIFS(AbsMed,C169,AbsDu,"&lt;="&amp;A169,AbsAu,"&gt;="&amp;A169)&gt;0),C169&amp;" absent. ","")&amp;IF(AND(D169&lt;&gt;"",COUNTIFS(AbsMed,D169,AbsDu,"&lt;="&amp;A169,AbsAu,"&gt;="&amp;A169)&gt;0),D169&amp;" absent. ","")</f>
        <v>0</v>
      </c>
    </row>
    <row r="170" spans="1:5">
      <c r="A170" s="10">
        <f>Debut+168</f>
        <v>2027-06-18 00:00:00</v>
      </c>
      <c r="B170" s="6">
        <f>IF(COUNTIF(Feries,A170)&gt;0,"Férié",IF(WEEKDAY(A170,2)=6,"Samedi",IF(WEEKDAY(A170,2)=7,"Dimanche","Semaine")))</f>
        <v>0</v>
      </c>
      <c r="C170" s="8"/>
      <c r="D170" s="8"/>
      <c r="E170" s="11">
        <f>IF(AND(C170&lt;&gt;"",C170=C169),"Ligne 1 : même médecin deux jours de suite. ","")&amp;IF(AND(D170&lt;&gt;"",D170=D169),"Ligne 2 : même médecin deux jours de suite. ","")&amp;IF(AND(C170&lt;&gt;"",C170=D170),"Même médecin sur les deux lignes. ","")&amp;IF(AND(C170&lt;&gt;"",COUNTIFS(AbsMed,C170,AbsDu,"&lt;="&amp;A170,AbsAu,"&gt;="&amp;A170)&gt;0),C170&amp;" absent. ","")&amp;IF(AND(D170&lt;&gt;"",COUNTIFS(AbsMed,D170,AbsDu,"&lt;="&amp;A170,AbsAu,"&gt;="&amp;A170)&gt;0),D170&amp;" absent. ","")</f>
        <v>0</v>
      </c>
    </row>
    <row r="171" spans="1:5">
      <c r="A171" s="10">
        <f>Debut+169</f>
        <v>2027-06-19 00:00:00</v>
      </c>
      <c r="B171" s="6">
        <f>IF(COUNTIF(Feries,A171)&gt;0,"Férié",IF(WEEKDAY(A171,2)=6,"Samedi",IF(WEEKDAY(A171,2)=7,"Dimanche","Semaine")))</f>
        <v>0</v>
      </c>
      <c r="C171" s="8"/>
      <c r="D171" s="8"/>
      <c r="E171" s="11">
        <f>IF(AND(C171&lt;&gt;"",C171=C170),"Ligne 1 : même médecin deux jours de suite. ","")&amp;IF(AND(D171&lt;&gt;"",D171=D170),"Ligne 2 : même médecin deux jours de suite. ","")&amp;IF(AND(C171&lt;&gt;"",C171=D171),"Même médecin sur les deux lignes. ","")&amp;IF(AND(C171&lt;&gt;"",COUNTIFS(AbsMed,C171,AbsDu,"&lt;="&amp;A171,AbsAu,"&gt;="&amp;A171)&gt;0),C171&amp;" absent. ","")&amp;IF(AND(D171&lt;&gt;"",COUNTIFS(AbsMed,D171,AbsDu,"&lt;="&amp;A171,AbsAu,"&gt;="&amp;A171)&gt;0),D171&amp;" absent. ","")</f>
        <v>0</v>
      </c>
    </row>
    <row r="172" spans="1:5">
      <c r="A172" s="10">
        <f>Debut+170</f>
        <v>2027-06-20 00:00:00</v>
      </c>
      <c r="B172" s="6">
        <f>IF(COUNTIF(Feries,A172)&gt;0,"Férié",IF(WEEKDAY(A172,2)=6,"Samedi",IF(WEEKDAY(A172,2)=7,"Dimanche","Semaine")))</f>
        <v>0</v>
      </c>
      <c r="C172" s="8"/>
      <c r="D172" s="8"/>
      <c r="E172" s="11">
        <f>IF(AND(C172&lt;&gt;"",C172=C171),"Ligne 1 : même médecin deux jours de suite. ","")&amp;IF(AND(D172&lt;&gt;"",D172=D171),"Ligne 2 : même médecin deux jours de suite. ","")&amp;IF(AND(C172&lt;&gt;"",C172=D172),"Même médecin sur les deux lignes. ","")&amp;IF(AND(C172&lt;&gt;"",COUNTIFS(AbsMed,C172,AbsDu,"&lt;="&amp;A172,AbsAu,"&gt;="&amp;A172)&gt;0),C172&amp;" absent. ","")&amp;IF(AND(D172&lt;&gt;"",COUNTIFS(AbsMed,D172,AbsDu,"&lt;="&amp;A172,AbsAu,"&gt;="&amp;A172)&gt;0),D172&amp;" absent. ","")</f>
        <v>0</v>
      </c>
    </row>
    <row r="173" spans="1:5">
      <c r="A173" s="10">
        <f>Debut+171</f>
        <v>2027-06-21 00:00:00</v>
      </c>
      <c r="B173" s="6">
        <f>IF(COUNTIF(Feries,A173)&gt;0,"Férié",IF(WEEKDAY(A173,2)=6,"Samedi",IF(WEEKDAY(A173,2)=7,"Dimanche","Semaine")))</f>
        <v>0</v>
      </c>
      <c r="C173" s="8"/>
      <c r="D173" s="8"/>
      <c r="E173" s="11">
        <f>IF(AND(C173&lt;&gt;"",C173=C172),"Ligne 1 : même médecin deux jours de suite. ","")&amp;IF(AND(D173&lt;&gt;"",D173=D172),"Ligne 2 : même médecin deux jours de suite. ","")&amp;IF(AND(C173&lt;&gt;"",C173=D173),"Même médecin sur les deux lignes. ","")&amp;IF(AND(C173&lt;&gt;"",COUNTIFS(AbsMed,C173,AbsDu,"&lt;="&amp;A173,AbsAu,"&gt;="&amp;A173)&gt;0),C173&amp;" absent. ","")&amp;IF(AND(D173&lt;&gt;"",COUNTIFS(AbsMed,D173,AbsDu,"&lt;="&amp;A173,AbsAu,"&gt;="&amp;A173)&gt;0),D173&amp;" absent. ","")</f>
        <v>0</v>
      </c>
    </row>
    <row r="174" spans="1:5">
      <c r="A174" s="10">
        <f>Debut+172</f>
        <v>2027-06-22 00:00:00</v>
      </c>
      <c r="B174" s="6">
        <f>IF(COUNTIF(Feries,A174)&gt;0,"Férié",IF(WEEKDAY(A174,2)=6,"Samedi",IF(WEEKDAY(A174,2)=7,"Dimanche","Semaine")))</f>
        <v>0</v>
      </c>
      <c r="C174" s="8"/>
      <c r="D174" s="8"/>
      <c r="E174" s="11">
        <f>IF(AND(C174&lt;&gt;"",C174=C173),"Ligne 1 : même médecin deux jours de suite. ","")&amp;IF(AND(D174&lt;&gt;"",D174=D173),"Ligne 2 : même médecin deux jours de suite. ","")&amp;IF(AND(C174&lt;&gt;"",C174=D174),"Même médecin sur les deux lignes. ","")&amp;IF(AND(C174&lt;&gt;"",COUNTIFS(AbsMed,C174,AbsDu,"&lt;="&amp;A174,AbsAu,"&gt;="&amp;A174)&gt;0),C174&amp;" absent. ","")&amp;IF(AND(D174&lt;&gt;"",COUNTIFS(AbsMed,D174,AbsDu,"&lt;="&amp;A174,AbsAu,"&gt;="&amp;A174)&gt;0),D174&amp;" absent. ","")</f>
        <v>0</v>
      </c>
    </row>
    <row r="175" spans="1:5">
      <c r="A175" s="10">
        <f>Debut+173</f>
        <v>2027-06-23 00:00:00</v>
      </c>
      <c r="B175" s="6">
        <f>IF(COUNTIF(Feries,A175)&gt;0,"Férié",IF(WEEKDAY(A175,2)=6,"Samedi",IF(WEEKDAY(A175,2)=7,"Dimanche","Semaine")))</f>
        <v>0</v>
      </c>
      <c r="C175" s="8"/>
      <c r="D175" s="8"/>
      <c r="E175" s="11">
        <f>IF(AND(C175&lt;&gt;"",C175=C174),"Ligne 1 : même médecin deux jours de suite. ","")&amp;IF(AND(D175&lt;&gt;"",D175=D174),"Ligne 2 : même médecin deux jours de suite. ","")&amp;IF(AND(C175&lt;&gt;"",C175=D175),"Même médecin sur les deux lignes. ","")&amp;IF(AND(C175&lt;&gt;"",COUNTIFS(AbsMed,C175,AbsDu,"&lt;="&amp;A175,AbsAu,"&gt;="&amp;A175)&gt;0),C175&amp;" absent. ","")&amp;IF(AND(D175&lt;&gt;"",COUNTIFS(AbsMed,D175,AbsDu,"&lt;="&amp;A175,AbsAu,"&gt;="&amp;A175)&gt;0),D175&amp;" absent. ","")</f>
        <v>0</v>
      </c>
    </row>
    <row r="176" spans="1:5">
      <c r="A176" s="10">
        <f>Debut+174</f>
        <v>2027-06-24 00:00:00</v>
      </c>
      <c r="B176" s="6">
        <f>IF(COUNTIF(Feries,A176)&gt;0,"Férié",IF(WEEKDAY(A176,2)=6,"Samedi",IF(WEEKDAY(A176,2)=7,"Dimanche","Semaine")))</f>
        <v>0</v>
      </c>
      <c r="C176" s="8"/>
      <c r="D176" s="8"/>
      <c r="E176" s="11">
        <f>IF(AND(C176&lt;&gt;"",C176=C175),"Ligne 1 : même médecin deux jours de suite. ","")&amp;IF(AND(D176&lt;&gt;"",D176=D175),"Ligne 2 : même médecin deux jours de suite. ","")&amp;IF(AND(C176&lt;&gt;"",C176=D176),"Même médecin sur les deux lignes. ","")&amp;IF(AND(C176&lt;&gt;"",COUNTIFS(AbsMed,C176,AbsDu,"&lt;="&amp;A176,AbsAu,"&gt;="&amp;A176)&gt;0),C176&amp;" absent. ","")&amp;IF(AND(D176&lt;&gt;"",COUNTIFS(AbsMed,D176,AbsDu,"&lt;="&amp;A176,AbsAu,"&gt;="&amp;A176)&gt;0),D176&amp;" absent. ","")</f>
        <v>0</v>
      </c>
    </row>
    <row r="177" spans="1:5">
      <c r="A177" s="10">
        <f>Debut+175</f>
        <v>2027-06-25 00:00:00</v>
      </c>
      <c r="B177" s="6">
        <f>IF(COUNTIF(Feries,A177)&gt;0,"Férié",IF(WEEKDAY(A177,2)=6,"Samedi",IF(WEEKDAY(A177,2)=7,"Dimanche","Semaine")))</f>
        <v>0</v>
      </c>
      <c r="C177" s="8"/>
      <c r="D177" s="8"/>
      <c r="E177" s="11">
        <f>IF(AND(C177&lt;&gt;"",C177=C176),"Ligne 1 : même médecin deux jours de suite. ","")&amp;IF(AND(D177&lt;&gt;"",D177=D176),"Ligne 2 : même médecin deux jours de suite. ","")&amp;IF(AND(C177&lt;&gt;"",C177=D177),"Même médecin sur les deux lignes. ","")&amp;IF(AND(C177&lt;&gt;"",COUNTIFS(AbsMed,C177,AbsDu,"&lt;="&amp;A177,AbsAu,"&gt;="&amp;A177)&gt;0),C177&amp;" absent. ","")&amp;IF(AND(D177&lt;&gt;"",COUNTIFS(AbsMed,D177,AbsDu,"&lt;="&amp;A177,AbsAu,"&gt;="&amp;A177)&gt;0),D177&amp;" absent. ","")</f>
        <v>0</v>
      </c>
    </row>
    <row r="178" spans="1:5">
      <c r="A178" s="10">
        <f>Debut+176</f>
        <v>2027-06-26 00:00:00</v>
      </c>
      <c r="B178" s="6">
        <f>IF(COUNTIF(Feries,A178)&gt;0,"Férié",IF(WEEKDAY(A178,2)=6,"Samedi",IF(WEEKDAY(A178,2)=7,"Dimanche","Semaine")))</f>
        <v>0</v>
      </c>
      <c r="C178" s="8"/>
      <c r="D178" s="8"/>
      <c r="E178" s="11">
        <f>IF(AND(C178&lt;&gt;"",C178=C177),"Ligne 1 : même médecin deux jours de suite. ","")&amp;IF(AND(D178&lt;&gt;"",D178=D177),"Ligne 2 : même médecin deux jours de suite. ","")&amp;IF(AND(C178&lt;&gt;"",C178=D178),"Même médecin sur les deux lignes. ","")&amp;IF(AND(C178&lt;&gt;"",COUNTIFS(AbsMed,C178,AbsDu,"&lt;="&amp;A178,AbsAu,"&gt;="&amp;A178)&gt;0),C178&amp;" absent. ","")&amp;IF(AND(D178&lt;&gt;"",COUNTIFS(AbsMed,D178,AbsDu,"&lt;="&amp;A178,AbsAu,"&gt;="&amp;A178)&gt;0),D178&amp;" absent. ","")</f>
        <v>0</v>
      </c>
    </row>
    <row r="179" spans="1:5">
      <c r="A179" s="10">
        <f>Debut+177</f>
        <v>2027-06-27 00:00:00</v>
      </c>
      <c r="B179" s="6">
        <f>IF(COUNTIF(Feries,A179)&gt;0,"Férié",IF(WEEKDAY(A179,2)=6,"Samedi",IF(WEEKDAY(A179,2)=7,"Dimanche","Semaine")))</f>
        <v>0</v>
      </c>
      <c r="C179" s="8"/>
      <c r="D179" s="8"/>
      <c r="E179" s="11">
        <f>IF(AND(C179&lt;&gt;"",C179=C178),"Ligne 1 : même médecin deux jours de suite. ","")&amp;IF(AND(D179&lt;&gt;"",D179=D178),"Ligne 2 : même médecin deux jours de suite. ","")&amp;IF(AND(C179&lt;&gt;"",C179=D179),"Même médecin sur les deux lignes. ","")&amp;IF(AND(C179&lt;&gt;"",COUNTIFS(AbsMed,C179,AbsDu,"&lt;="&amp;A179,AbsAu,"&gt;="&amp;A179)&gt;0),C179&amp;" absent. ","")&amp;IF(AND(D179&lt;&gt;"",COUNTIFS(AbsMed,D179,AbsDu,"&lt;="&amp;A179,AbsAu,"&gt;="&amp;A179)&gt;0),D179&amp;" absent. ","")</f>
        <v>0</v>
      </c>
    </row>
    <row r="180" spans="1:5">
      <c r="A180" s="10">
        <f>Debut+178</f>
        <v>2027-06-28 00:00:00</v>
      </c>
      <c r="B180" s="6">
        <f>IF(COUNTIF(Feries,A180)&gt;0,"Férié",IF(WEEKDAY(A180,2)=6,"Samedi",IF(WEEKDAY(A180,2)=7,"Dimanche","Semaine")))</f>
        <v>0</v>
      </c>
      <c r="C180" s="8"/>
      <c r="D180" s="8"/>
      <c r="E180" s="11">
        <f>IF(AND(C180&lt;&gt;"",C180=C179),"Ligne 1 : même médecin deux jours de suite. ","")&amp;IF(AND(D180&lt;&gt;"",D180=D179),"Ligne 2 : même médecin deux jours de suite. ","")&amp;IF(AND(C180&lt;&gt;"",C180=D180),"Même médecin sur les deux lignes. ","")&amp;IF(AND(C180&lt;&gt;"",COUNTIFS(AbsMed,C180,AbsDu,"&lt;="&amp;A180,AbsAu,"&gt;="&amp;A180)&gt;0),C180&amp;" absent. ","")&amp;IF(AND(D180&lt;&gt;"",COUNTIFS(AbsMed,D180,AbsDu,"&lt;="&amp;A180,AbsAu,"&gt;="&amp;A180)&gt;0),D180&amp;" absent. ","")</f>
        <v>0</v>
      </c>
    </row>
    <row r="181" spans="1:5">
      <c r="A181" s="10">
        <f>Debut+179</f>
        <v>2027-06-29 00:00:00</v>
      </c>
      <c r="B181" s="6">
        <f>IF(COUNTIF(Feries,A181)&gt;0,"Férié",IF(WEEKDAY(A181,2)=6,"Samedi",IF(WEEKDAY(A181,2)=7,"Dimanche","Semaine")))</f>
        <v>0</v>
      </c>
      <c r="C181" s="8"/>
      <c r="D181" s="8"/>
      <c r="E181" s="11">
        <f>IF(AND(C181&lt;&gt;"",C181=C180),"Ligne 1 : même médecin deux jours de suite. ","")&amp;IF(AND(D181&lt;&gt;"",D181=D180),"Ligne 2 : même médecin deux jours de suite. ","")&amp;IF(AND(C181&lt;&gt;"",C181=D181),"Même médecin sur les deux lignes. ","")&amp;IF(AND(C181&lt;&gt;"",COUNTIFS(AbsMed,C181,AbsDu,"&lt;="&amp;A181,AbsAu,"&gt;="&amp;A181)&gt;0),C181&amp;" absent. ","")&amp;IF(AND(D181&lt;&gt;"",COUNTIFS(AbsMed,D181,AbsDu,"&lt;="&amp;A181,AbsAu,"&gt;="&amp;A181)&gt;0),D181&amp;" absent. ","")</f>
        <v>0</v>
      </c>
    </row>
    <row r="182" spans="1:5">
      <c r="A182" s="10">
        <f>Debut+180</f>
        <v>2027-06-30 00:00:00</v>
      </c>
      <c r="B182" s="6">
        <f>IF(COUNTIF(Feries,A182)&gt;0,"Férié",IF(WEEKDAY(A182,2)=6,"Samedi",IF(WEEKDAY(A182,2)=7,"Dimanche","Semaine")))</f>
        <v>0</v>
      </c>
      <c r="C182" s="8"/>
      <c r="D182" s="8"/>
      <c r="E182" s="11">
        <f>IF(AND(C182&lt;&gt;"",C182=C181),"Ligne 1 : même médecin deux jours de suite. ","")&amp;IF(AND(D182&lt;&gt;"",D182=D181),"Ligne 2 : même médecin deux jours de suite. ","")&amp;IF(AND(C182&lt;&gt;"",C182=D182),"Même médecin sur les deux lignes. ","")&amp;IF(AND(C182&lt;&gt;"",COUNTIFS(AbsMed,C182,AbsDu,"&lt;="&amp;A182,AbsAu,"&gt;="&amp;A182)&gt;0),C182&amp;" absent. ","")&amp;IF(AND(D182&lt;&gt;"",COUNTIFS(AbsMed,D182,AbsDu,"&lt;="&amp;A182,AbsAu,"&gt;="&amp;A182)&gt;0),D182&amp;" absent. ","")</f>
        <v>0</v>
      </c>
    </row>
    <row r="183" spans="1:5">
      <c r="A183" s="10">
        <f>Debut+181</f>
        <v>2027-07-01 00:00:00</v>
      </c>
      <c r="B183" s="6">
        <f>IF(COUNTIF(Feries,A183)&gt;0,"Férié",IF(WEEKDAY(A183,2)=6,"Samedi",IF(WEEKDAY(A183,2)=7,"Dimanche","Semaine")))</f>
        <v>0</v>
      </c>
      <c r="C183" s="8"/>
      <c r="D183" s="8"/>
      <c r="E183" s="11">
        <f>IF(AND(C183&lt;&gt;"",C183=C182),"Ligne 1 : même médecin deux jours de suite. ","")&amp;IF(AND(D183&lt;&gt;"",D183=D182),"Ligne 2 : même médecin deux jours de suite. ","")&amp;IF(AND(C183&lt;&gt;"",C183=D183),"Même médecin sur les deux lignes. ","")&amp;IF(AND(C183&lt;&gt;"",COUNTIFS(AbsMed,C183,AbsDu,"&lt;="&amp;A183,AbsAu,"&gt;="&amp;A183)&gt;0),C183&amp;" absent. ","")&amp;IF(AND(D183&lt;&gt;"",COUNTIFS(AbsMed,D183,AbsDu,"&lt;="&amp;A183,AbsAu,"&gt;="&amp;A183)&gt;0),D183&amp;" absent. ","")</f>
        <v>0</v>
      </c>
    </row>
    <row r="184" spans="1:5">
      <c r="A184" s="10">
        <f>Debut+182</f>
        <v>2027-07-02 00:00:00</v>
      </c>
      <c r="B184" s="6">
        <f>IF(COUNTIF(Feries,A184)&gt;0,"Férié",IF(WEEKDAY(A184,2)=6,"Samedi",IF(WEEKDAY(A184,2)=7,"Dimanche","Semaine")))</f>
        <v>0</v>
      </c>
      <c r="C184" s="8"/>
      <c r="D184" s="8"/>
      <c r="E184" s="11">
        <f>IF(AND(C184&lt;&gt;"",C184=C183),"Ligne 1 : même médecin deux jours de suite. ","")&amp;IF(AND(D184&lt;&gt;"",D184=D183),"Ligne 2 : même médecin deux jours de suite. ","")&amp;IF(AND(C184&lt;&gt;"",C184=D184),"Même médecin sur les deux lignes. ","")&amp;IF(AND(C184&lt;&gt;"",COUNTIFS(AbsMed,C184,AbsDu,"&lt;="&amp;A184,AbsAu,"&gt;="&amp;A184)&gt;0),C184&amp;" absent. ","")&amp;IF(AND(D184&lt;&gt;"",COUNTIFS(AbsMed,D184,AbsDu,"&lt;="&amp;A184,AbsAu,"&gt;="&amp;A184)&gt;0),D184&amp;" absent. ","")</f>
        <v>0</v>
      </c>
    </row>
    <row r="185" spans="1:5">
      <c r="A185" s="10">
        <f>Debut+183</f>
        <v>2027-07-03 00:00:00</v>
      </c>
      <c r="B185" s="6">
        <f>IF(COUNTIF(Feries,A185)&gt;0,"Férié",IF(WEEKDAY(A185,2)=6,"Samedi",IF(WEEKDAY(A185,2)=7,"Dimanche","Semaine")))</f>
        <v>0</v>
      </c>
      <c r="C185" s="8"/>
      <c r="D185" s="8"/>
      <c r="E185" s="11">
        <f>IF(AND(C185&lt;&gt;"",C185=C184),"Ligne 1 : même médecin deux jours de suite. ","")&amp;IF(AND(D185&lt;&gt;"",D185=D184),"Ligne 2 : même médecin deux jours de suite. ","")&amp;IF(AND(C185&lt;&gt;"",C185=D185),"Même médecin sur les deux lignes. ","")&amp;IF(AND(C185&lt;&gt;"",COUNTIFS(AbsMed,C185,AbsDu,"&lt;="&amp;A185,AbsAu,"&gt;="&amp;A185)&gt;0),C185&amp;" absent. ","")&amp;IF(AND(D185&lt;&gt;"",COUNTIFS(AbsMed,D185,AbsDu,"&lt;="&amp;A185,AbsAu,"&gt;="&amp;A185)&gt;0),D185&amp;" absent. ","")</f>
        <v>0</v>
      </c>
    </row>
    <row r="186" spans="1:5">
      <c r="A186" s="10">
        <f>Debut+184</f>
        <v>2027-07-04 00:00:00</v>
      </c>
      <c r="B186" s="6">
        <f>IF(COUNTIF(Feries,A186)&gt;0,"Férié",IF(WEEKDAY(A186,2)=6,"Samedi",IF(WEEKDAY(A186,2)=7,"Dimanche","Semaine")))</f>
        <v>0</v>
      </c>
      <c r="C186" s="8"/>
      <c r="D186" s="8"/>
      <c r="E186" s="11">
        <f>IF(AND(C186&lt;&gt;"",C186=C185),"Ligne 1 : même médecin deux jours de suite. ","")&amp;IF(AND(D186&lt;&gt;"",D186=D185),"Ligne 2 : même médecin deux jours de suite. ","")&amp;IF(AND(C186&lt;&gt;"",C186=D186),"Même médecin sur les deux lignes. ","")&amp;IF(AND(C186&lt;&gt;"",COUNTIFS(AbsMed,C186,AbsDu,"&lt;="&amp;A186,AbsAu,"&gt;="&amp;A186)&gt;0),C186&amp;" absent. ","")&amp;IF(AND(D186&lt;&gt;"",COUNTIFS(AbsMed,D186,AbsDu,"&lt;="&amp;A186,AbsAu,"&gt;="&amp;A186)&gt;0),D186&amp;" absent. ","")</f>
        <v>0</v>
      </c>
    </row>
    <row r="187" spans="1:5">
      <c r="A187" s="10">
        <f>Debut+185</f>
        <v>2027-07-05 00:00:00</v>
      </c>
      <c r="B187" s="6">
        <f>IF(COUNTIF(Feries,A187)&gt;0,"Férié",IF(WEEKDAY(A187,2)=6,"Samedi",IF(WEEKDAY(A187,2)=7,"Dimanche","Semaine")))</f>
        <v>0</v>
      </c>
      <c r="C187" s="8"/>
      <c r="D187" s="8"/>
      <c r="E187" s="11">
        <f>IF(AND(C187&lt;&gt;"",C187=C186),"Ligne 1 : même médecin deux jours de suite. ","")&amp;IF(AND(D187&lt;&gt;"",D187=D186),"Ligne 2 : même médecin deux jours de suite. ","")&amp;IF(AND(C187&lt;&gt;"",C187=D187),"Même médecin sur les deux lignes. ","")&amp;IF(AND(C187&lt;&gt;"",COUNTIFS(AbsMed,C187,AbsDu,"&lt;="&amp;A187,AbsAu,"&gt;="&amp;A187)&gt;0),C187&amp;" absent. ","")&amp;IF(AND(D187&lt;&gt;"",COUNTIFS(AbsMed,D187,AbsDu,"&lt;="&amp;A187,AbsAu,"&gt;="&amp;A187)&gt;0),D187&amp;" absent. ","")</f>
        <v>0</v>
      </c>
    </row>
    <row r="188" spans="1:5">
      <c r="A188" s="10">
        <f>Debut+186</f>
        <v>2027-07-06 00:00:00</v>
      </c>
      <c r="B188" s="6">
        <f>IF(COUNTIF(Feries,A188)&gt;0,"Férié",IF(WEEKDAY(A188,2)=6,"Samedi",IF(WEEKDAY(A188,2)=7,"Dimanche","Semaine")))</f>
        <v>0</v>
      </c>
      <c r="C188" s="8"/>
      <c r="D188" s="8"/>
      <c r="E188" s="11">
        <f>IF(AND(C188&lt;&gt;"",C188=C187),"Ligne 1 : même médecin deux jours de suite. ","")&amp;IF(AND(D188&lt;&gt;"",D188=D187),"Ligne 2 : même médecin deux jours de suite. ","")&amp;IF(AND(C188&lt;&gt;"",C188=D188),"Même médecin sur les deux lignes. ","")&amp;IF(AND(C188&lt;&gt;"",COUNTIFS(AbsMed,C188,AbsDu,"&lt;="&amp;A188,AbsAu,"&gt;="&amp;A188)&gt;0),C188&amp;" absent. ","")&amp;IF(AND(D188&lt;&gt;"",COUNTIFS(AbsMed,D188,AbsDu,"&lt;="&amp;A188,AbsAu,"&gt;="&amp;A188)&gt;0),D188&amp;" absent. ","")</f>
        <v>0</v>
      </c>
    </row>
    <row r="189" spans="1:5">
      <c r="A189" s="10">
        <f>Debut+187</f>
        <v>2027-07-07 00:00:00</v>
      </c>
      <c r="B189" s="6">
        <f>IF(COUNTIF(Feries,A189)&gt;0,"Férié",IF(WEEKDAY(A189,2)=6,"Samedi",IF(WEEKDAY(A189,2)=7,"Dimanche","Semaine")))</f>
        <v>0</v>
      </c>
      <c r="C189" s="8"/>
      <c r="D189" s="8"/>
      <c r="E189" s="11">
        <f>IF(AND(C189&lt;&gt;"",C189=C188),"Ligne 1 : même médecin deux jours de suite. ","")&amp;IF(AND(D189&lt;&gt;"",D189=D188),"Ligne 2 : même médecin deux jours de suite. ","")&amp;IF(AND(C189&lt;&gt;"",C189=D189),"Même médecin sur les deux lignes. ","")&amp;IF(AND(C189&lt;&gt;"",COUNTIFS(AbsMed,C189,AbsDu,"&lt;="&amp;A189,AbsAu,"&gt;="&amp;A189)&gt;0),C189&amp;" absent. ","")&amp;IF(AND(D189&lt;&gt;"",COUNTIFS(AbsMed,D189,AbsDu,"&lt;="&amp;A189,AbsAu,"&gt;="&amp;A189)&gt;0),D189&amp;" absent. ","")</f>
        <v>0</v>
      </c>
    </row>
    <row r="190" spans="1:5">
      <c r="A190" s="10">
        <f>Debut+188</f>
        <v>2027-07-08 00:00:00</v>
      </c>
      <c r="B190" s="6">
        <f>IF(COUNTIF(Feries,A190)&gt;0,"Férié",IF(WEEKDAY(A190,2)=6,"Samedi",IF(WEEKDAY(A190,2)=7,"Dimanche","Semaine")))</f>
        <v>0</v>
      </c>
      <c r="C190" s="8"/>
      <c r="D190" s="8"/>
      <c r="E190" s="11">
        <f>IF(AND(C190&lt;&gt;"",C190=C189),"Ligne 1 : même médecin deux jours de suite. ","")&amp;IF(AND(D190&lt;&gt;"",D190=D189),"Ligne 2 : même médecin deux jours de suite. ","")&amp;IF(AND(C190&lt;&gt;"",C190=D190),"Même médecin sur les deux lignes. ","")&amp;IF(AND(C190&lt;&gt;"",COUNTIFS(AbsMed,C190,AbsDu,"&lt;="&amp;A190,AbsAu,"&gt;="&amp;A190)&gt;0),C190&amp;" absent. ","")&amp;IF(AND(D190&lt;&gt;"",COUNTIFS(AbsMed,D190,AbsDu,"&lt;="&amp;A190,AbsAu,"&gt;="&amp;A190)&gt;0),D190&amp;" absent. ","")</f>
        <v>0</v>
      </c>
    </row>
    <row r="191" spans="1:5">
      <c r="A191" s="10">
        <f>Debut+189</f>
        <v>2027-07-09 00:00:00</v>
      </c>
      <c r="B191" s="6">
        <f>IF(COUNTIF(Feries,A191)&gt;0,"Férié",IF(WEEKDAY(A191,2)=6,"Samedi",IF(WEEKDAY(A191,2)=7,"Dimanche","Semaine")))</f>
        <v>0</v>
      </c>
      <c r="C191" s="8"/>
      <c r="D191" s="8"/>
      <c r="E191" s="11">
        <f>IF(AND(C191&lt;&gt;"",C191=C190),"Ligne 1 : même médecin deux jours de suite. ","")&amp;IF(AND(D191&lt;&gt;"",D191=D190),"Ligne 2 : même médecin deux jours de suite. ","")&amp;IF(AND(C191&lt;&gt;"",C191=D191),"Même médecin sur les deux lignes. ","")&amp;IF(AND(C191&lt;&gt;"",COUNTIFS(AbsMed,C191,AbsDu,"&lt;="&amp;A191,AbsAu,"&gt;="&amp;A191)&gt;0),C191&amp;" absent. ","")&amp;IF(AND(D191&lt;&gt;"",COUNTIFS(AbsMed,D191,AbsDu,"&lt;="&amp;A191,AbsAu,"&gt;="&amp;A191)&gt;0),D191&amp;" absent. ","")</f>
        <v>0</v>
      </c>
    </row>
    <row r="192" spans="1:5">
      <c r="A192" s="10">
        <f>Debut+190</f>
        <v>2027-07-10 00:00:00</v>
      </c>
      <c r="B192" s="6">
        <f>IF(COUNTIF(Feries,A192)&gt;0,"Férié",IF(WEEKDAY(A192,2)=6,"Samedi",IF(WEEKDAY(A192,2)=7,"Dimanche","Semaine")))</f>
        <v>0</v>
      </c>
      <c r="C192" s="8"/>
      <c r="D192" s="8"/>
      <c r="E192" s="11">
        <f>IF(AND(C192&lt;&gt;"",C192=C191),"Ligne 1 : même médecin deux jours de suite. ","")&amp;IF(AND(D192&lt;&gt;"",D192=D191),"Ligne 2 : même médecin deux jours de suite. ","")&amp;IF(AND(C192&lt;&gt;"",C192=D192),"Même médecin sur les deux lignes. ","")&amp;IF(AND(C192&lt;&gt;"",COUNTIFS(AbsMed,C192,AbsDu,"&lt;="&amp;A192,AbsAu,"&gt;="&amp;A192)&gt;0),C192&amp;" absent. ","")&amp;IF(AND(D192&lt;&gt;"",COUNTIFS(AbsMed,D192,AbsDu,"&lt;="&amp;A192,AbsAu,"&gt;="&amp;A192)&gt;0),D192&amp;" absent. ","")</f>
        <v>0</v>
      </c>
    </row>
    <row r="193" spans="1:5">
      <c r="A193" s="10">
        <f>Debut+191</f>
        <v>2027-07-11 00:00:00</v>
      </c>
      <c r="B193" s="6">
        <f>IF(COUNTIF(Feries,A193)&gt;0,"Férié",IF(WEEKDAY(A193,2)=6,"Samedi",IF(WEEKDAY(A193,2)=7,"Dimanche","Semaine")))</f>
        <v>0</v>
      </c>
      <c r="C193" s="8"/>
      <c r="D193" s="8"/>
      <c r="E193" s="11">
        <f>IF(AND(C193&lt;&gt;"",C193=C192),"Ligne 1 : même médecin deux jours de suite. ","")&amp;IF(AND(D193&lt;&gt;"",D193=D192),"Ligne 2 : même médecin deux jours de suite. ","")&amp;IF(AND(C193&lt;&gt;"",C193=D193),"Même médecin sur les deux lignes. ","")&amp;IF(AND(C193&lt;&gt;"",COUNTIFS(AbsMed,C193,AbsDu,"&lt;="&amp;A193,AbsAu,"&gt;="&amp;A193)&gt;0),C193&amp;" absent. ","")&amp;IF(AND(D193&lt;&gt;"",COUNTIFS(AbsMed,D193,AbsDu,"&lt;="&amp;A193,AbsAu,"&gt;="&amp;A193)&gt;0),D193&amp;" absent. ","")</f>
        <v>0</v>
      </c>
    </row>
    <row r="194" spans="1:5">
      <c r="A194" s="10">
        <f>Debut+192</f>
        <v>2027-07-12 00:00:00</v>
      </c>
      <c r="B194" s="6">
        <f>IF(COUNTIF(Feries,A194)&gt;0,"Férié",IF(WEEKDAY(A194,2)=6,"Samedi",IF(WEEKDAY(A194,2)=7,"Dimanche","Semaine")))</f>
        <v>0</v>
      </c>
      <c r="C194" s="8"/>
      <c r="D194" s="8"/>
      <c r="E194" s="11">
        <f>IF(AND(C194&lt;&gt;"",C194=C193),"Ligne 1 : même médecin deux jours de suite. ","")&amp;IF(AND(D194&lt;&gt;"",D194=D193),"Ligne 2 : même médecin deux jours de suite. ","")&amp;IF(AND(C194&lt;&gt;"",C194=D194),"Même médecin sur les deux lignes. ","")&amp;IF(AND(C194&lt;&gt;"",COUNTIFS(AbsMed,C194,AbsDu,"&lt;="&amp;A194,AbsAu,"&gt;="&amp;A194)&gt;0),C194&amp;" absent. ","")&amp;IF(AND(D194&lt;&gt;"",COUNTIFS(AbsMed,D194,AbsDu,"&lt;="&amp;A194,AbsAu,"&gt;="&amp;A194)&gt;0),D194&amp;" absent. ","")</f>
        <v>0</v>
      </c>
    </row>
    <row r="195" spans="1:5">
      <c r="A195" s="10">
        <f>Debut+193</f>
        <v>2027-07-13 00:00:00</v>
      </c>
      <c r="B195" s="6">
        <f>IF(COUNTIF(Feries,A195)&gt;0,"Férié",IF(WEEKDAY(A195,2)=6,"Samedi",IF(WEEKDAY(A195,2)=7,"Dimanche","Semaine")))</f>
        <v>0</v>
      </c>
      <c r="C195" s="8"/>
      <c r="D195" s="8"/>
      <c r="E195" s="11">
        <f>IF(AND(C195&lt;&gt;"",C195=C194),"Ligne 1 : même médecin deux jours de suite. ","")&amp;IF(AND(D195&lt;&gt;"",D195=D194),"Ligne 2 : même médecin deux jours de suite. ","")&amp;IF(AND(C195&lt;&gt;"",C195=D195),"Même médecin sur les deux lignes. ","")&amp;IF(AND(C195&lt;&gt;"",COUNTIFS(AbsMed,C195,AbsDu,"&lt;="&amp;A195,AbsAu,"&gt;="&amp;A195)&gt;0),C195&amp;" absent. ","")&amp;IF(AND(D195&lt;&gt;"",COUNTIFS(AbsMed,D195,AbsDu,"&lt;="&amp;A195,AbsAu,"&gt;="&amp;A195)&gt;0),D195&amp;" absent. ","")</f>
        <v>0</v>
      </c>
    </row>
    <row r="196" spans="1:5">
      <c r="A196" s="10">
        <f>Debut+194</f>
        <v>2027-07-14 00:00:00</v>
      </c>
      <c r="B196" s="6">
        <f>IF(COUNTIF(Feries,A196)&gt;0,"Férié",IF(WEEKDAY(A196,2)=6,"Samedi",IF(WEEKDAY(A196,2)=7,"Dimanche","Semaine")))</f>
        <v>0</v>
      </c>
      <c r="C196" s="8"/>
      <c r="D196" s="8"/>
      <c r="E196" s="11">
        <f>IF(AND(C196&lt;&gt;"",C196=C195),"Ligne 1 : même médecin deux jours de suite. ","")&amp;IF(AND(D196&lt;&gt;"",D196=D195),"Ligne 2 : même médecin deux jours de suite. ","")&amp;IF(AND(C196&lt;&gt;"",C196=D196),"Même médecin sur les deux lignes. ","")&amp;IF(AND(C196&lt;&gt;"",COUNTIFS(AbsMed,C196,AbsDu,"&lt;="&amp;A196,AbsAu,"&gt;="&amp;A196)&gt;0),C196&amp;" absent. ","")&amp;IF(AND(D196&lt;&gt;"",COUNTIFS(AbsMed,D196,AbsDu,"&lt;="&amp;A196,AbsAu,"&gt;="&amp;A196)&gt;0),D196&amp;" absent. ","")</f>
        <v>0</v>
      </c>
    </row>
    <row r="197" spans="1:5">
      <c r="A197" s="10">
        <f>Debut+195</f>
        <v>2027-07-15 00:00:00</v>
      </c>
      <c r="B197" s="6">
        <f>IF(COUNTIF(Feries,A197)&gt;0,"Férié",IF(WEEKDAY(A197,2)=6,"Samedi",IF(WEEKDAY(A197,2)=7,"Dimanche","Semaine")))</f>
        <v>0</v>
      </c>
      <c r="C197" s="8"/>
      <c r="D197" s="8"/>
      <c r="E197" s="11">
        <f>IF(AND(C197&lt;&gt;"",C197=C196),"Ligne 1 : même médecin deux jours de suite. ","")&amp;IF(AND(D197&lt;&gt;"",D197=D196),"Ligne 2 : même médecin deux jours de suite. ","")&amp;IF(AND(C197&lt;&gt;"",C197=D197),"Même médecin sur les deux lignes. ","")&amp;IF(AND(C197&lt;&gt;"",COUNTIFS(AbsMed,C197,AbsDu,"&lt;="&amp;A197,AbsAu,"&gt;="&amp;A197)&gt;0),C197&amp;" absent. ","")&amp;IF(AND(D197&lt;&gt;"",COUNTIFS(AbsMed,D197,AbsDu,"&lt;="&amp;A197,AbsAu,"&gt;="&amp;A197)&gt;0),D197&amp;" absent. ","")</f>
        <v>0</v>
      </c>
    </row>
    <row r="198" spans="1:5">
      <c r="A198" s="10">
        <f>Debut+196</f>
        <v>2027-07-16 00:00:00</v>
      </c>
      <c r="B198" s="6">
        <f>IF(COUNTIF(Feries,A198)&gt;0,"Férié",IF(WEEKDAY(A198,2)=6,"Samedi",IF(WEEKDAY(A198,2)=7,"Dimanche","Semaine")))</f>
        <v>0</v>
      </c>
      <c r="C198" s="8"/>
      <c r="D198" s="8"/>
      <c r="E198" s="11">
        <f>IF(AND(C198&lt;&gt;"",C198=C197),"Ligne 1 : même médecin deux jours de suite. ","")&amp;IF(AND(D198&lt;&gt;"",D198=D197),"Ligne 2 : même médecin deux jours de suite. ","")&amp;IF(AND(C198&lt;&gt;"",C198=D198),"Même médecin sur les deux lignes. ","")&amp;IF(AND(C198&lt;&gt;"",COUNTIFS(AbsMed,C198,AbsDu,"&lt;="&amp;A198,AbsAu,"&gt;="&amp;A198)&gt;0),C198&amp;" absent. ","")&amp;IF(AND(D198&lt;&gt;"",COUNTIFS(AbsMed,D198,AbsDu,"&lt;="&amp;A198,AbsAu,"&gt;="&amp;A198)&gt;0),D198&amp;" absent. ","")</f>
        <v>0</v>
      </c>
    </row>
    <row r="199" spans="1:5">
      <c r="A199" s="10">
        <f>Debut+197</f>
        <v>2027-07-17 00:00:00</v>
      </c>
      <c r="B199" s="6">
        <f>IF(COUNTIF(Feries,A199)&gt;0,"Férié",IF(WEEKDAY(A199,2)=6,"Samedi",IF(WEEKDAY(A199,2)=7,"Dimanche","Semaine")))</f>
        <v>0</v>
      </c>
      <c r="C199" s="8"/>
      <c r="D199" s="8"/>
      <c r="E199" s="11">
        <f>IF(AND(C199&lt;&gt;"",C199=C198),"Ligne 1 : même médecin deux jours de suite. ","")&amp;IF(AND(D199&lt;&gt;"",D199=D198),"Ligne 2 : même médecin deux jours de suite. ","")&amp;IF(AND(C199&lt;&gt;"",C199=D199),"Même médecin sur les deux lignes. ","")&amp;IF(AND(C199&lt;&gt;"",COUNTIFS(AbsMed,C199,AbsDu,"&lt;="&amp;A199,AbsAu,"&gt;="&amp;A199)&gt;0),C199&amp;" absent. ","")&amp;IF(AND(D199&lt;&gt;"",COUNTIFS(AbsMed,D199,AbsDu,"&lt;="&amp;A199,AbsAu,"&gt;="&amp;A199)&gt;0),D199&amp;" absent. ","")</f>
        <v>0</v>
      </c>
    </row>
    <row r="200" spans="1:5">
      <c r="A200" s="10">
        <f>Debut+198</f>
        <v>2027-07-18 00:00:00</v>
      </c>
      <c r="B200" s="6">
        <f>IF(COUNTIF(Feries,A200)&gt;0,"Férié",IF(WEEKDAY(A200,2)=6,"Samedi",IF(WEEKDAY(A200,2)=7,"Dimanche","Semaine")))</f>
        <v>0</v>
      </c>
      <c r="C200" s="8"/>
      <c r="D200" s="8"/>
      <c r="E200" s="11">
        <f>IF(AND(C200&lt;&gt;"",C200=C199),"Ligne 1 : même médecin deux jours de suite. ","")&amp;IF(AND(D200&lt;&gt;"",D200=D199),"Ligne 2 : même médecin deux jours de suite. ","")&amp;IF(AND(C200&lt;&gt;"",C200=D200),"Même médecin sur les deux lignes. ","")&amp;IF(AND(C200&lt;&gt;"",COUNTIFS(AbsMed,C200,AbsDu,"&lt;="&amp;A200,AbsAu,"&gt;="&amp;A200)&gt;0),C200&amp;" absent. ","")&amp;IF(AND(D200&lt;&gt;"",COUNTIFS(AbsMed,D200,AbsDu,"&lt;="&amp;A200,AbsAu,"&gt;="&amp;A200)&gt;0),D200&amp;" absent. ","")</f>
        <v>0</v>
      </c>
    </row>
    <row r="201" spans="1:5">
      <c r="A201" s="10">
        <f>Debut+199</f>
        <v>2027-07-19 00:00:00</v>
      </c>
      <c r="B201" s="6">
        <f>IF(COUNTIF(Feries,A201)&gt;0,"Férié",IF(WEEKDAY(A201,2)=6,"Samedi",IF(WEEKDAY(A201,2)=7,"Dimanche","Semaine")))</f>
        <v>0</v>
      </c>
      <c r="C201" s="8"/>
      <c r="D201" s="8"/>
      <c r="E201" s="11">
        <f>IF(AND(C201&lt;&gt;"",C201=C200),"Ligne 1 : même médecin deux jours de suite. ","")&amp;IF(AND(D201&lt;&gt;"",D201=D200),"Ligne 2 : même médecin deux jours de suite. ","")&amp;IF(AND(C201&lt;&gt;"",C201=D201),"Même médecin sur les deux lignes. ","")&amp;IF(AND(C201&lt;&gt;"",COUNTIFS(AbsMed,C201,AbsDu,"&lt;="&amp;A201,AbsAu,"&gt;="&amp;A201)&gt;0),C201&amp;" absent. ","")&amp;IF(AND(D201&lt;&gt;"",COUNTIFS(AbsMed,D201,AbsDu,"&lt;="&amp;A201,AbsAu,"&gt;="&amp;A201)&gt;0),D201&amp;" absent. ","")</f>
        <v>0</v>
      </c>
    </row>
    <row r="202" spans="1:5">
      <c r="A202" s="10">
        <f>Debut+200</f>
        <v>2027-07-20 00:00:00</v>
      </c>
      <c r="B202" s="6">
        <f>IF(COUNTIF(Feries,A202)&gt;0,"Férié",IF(WEEKDAY(A202,2)=6,"Samedi",IF(WEEKDAY(A202,2)=7,"Dimanche","Semaine")))</f>
        <v>0</v>
      </c>
      <c r="C202" s="8"/>
      <c r="D202" s="8"/>
      <c r="E202" s="11">
        <f>IF(AND(C202&lt;&gt;"",C202=C201),"Ligne 1 : même médecin deux jours de suite. ","")&amp;IF(AND(D202&lt;&gt;"",D202=D201),"Ligne 2 : même médecin deux jours de suite. ","")&amp;IF(AND(C202&lt;&gt;"",C202=D202),"Même médecin sur les deux lignes. ","")&amp;IF(AND(C202&lt;&gt;"",COUNTIFS(AbsMed,C202,AbsDu,"&lt;="&amp;A202,AbsAu,"&gt;="&amp;A202)&gt;0),C202&amp;" absent. ","")&amp;IF(AND(D202&lt;&gt;"",COUNTIFS(AbsMed,D202,AbsDu,"&lt;="&amp;A202,AbsAu,"&gt;="&amp;A202)&gt;0),D202&amp;" absent. ","")</f>
        <v>0</v>
      </c>
    </row>
    <row r="203" spans="1:5">
      <c r="A203" s="10">
        <f>Debut+201</f>
        <v>2027-07-21 00:00:00</v>
      </c>
      <c r="B203" s="6">
        <f>IF(COUNTIF(Feries,A203)&gt;0,"Férié",IF(WEEKDAY(A203,2)=6,"Samedi",IF(WEEKDAY(A203,2)=7,"Dimanche","Semaine")))</f>
        <v>0</v>
      </c>
      <c r="C203" s="8"/>
      <c r="D203" s="8"/>
      <c r="E203" s="11">
        <f>IF(AND(C203&lt;&gt;"",C203=C202),"Ligne 1 : même médecin deux jours de suite. ","")&amp;IF(AND(D203&lt;&gt;"",D203=D202),"Ligne 2 : même médecin deux jours de suite. ","")&amp;IF(AND(C203&lt;&gt;"",C203=D203),"Même médecin sur les deux lignes. ","")&amp;IF(AND(C203&lt;&gt;"",COUNTIFS(AbsMed,C203,AbsDu,"&lt;="&amp;A203,AbsAu,"&gt;="&amp;A203)&gt;0),C203&amp;" absent. ","")&amp;IF(AND(D203&lt;&gt;"",COUNTIFS(AbsMed,D203,AbsDu,"&lt;="&amp;A203,AbsAu,"&gt;="&amp;A203)&gt;0),D203&amp;" absent. ","")</f>
        <v>0</v>
      </c>
    </row>
    <row r="204" spans="1:5">
      <c r="A204" s="10">
        <f>Debut+202</f>
        <v>2027-07-22 00:00:00</v>
      </c>
      <c r="B204" s="6">
        <f>IF(COUNTIF(Feries,A204)&gt;0,"Férié",IF(WEEKDAY(A204,2)=6,"Samedi",IF(WEEKDAY(A204,2)=7,"Dimanche","Semaine")))</f>
        <v>0</v>
      </c>
      <c r="C204" s="8"/>
      <c r="D204" s="8"/>
      <c r="E204" s="11">
        <f>IF(AND(C204&lt;&gt;"",C204=C203),"Ligne 1 : même médecin deux jours de suite. ","")&amp;IF(AND(D204&lt;&gt;"",D204=D203),"Ligne 2 : même médecin deux jours de suite. ","")&amp;IF(AND(C204&lt;&gt;"",C204=D204),"Même médecin sur les deux lignes. ","")&amp;IF(AND(C204&lt;&gt;"",COUNTIFS(AbsMed,C204,AbsDu,"&lt;="&amp;A204,AbsAu,"&gt;="&amp;A204)&gt;0),C204&amp;" absent. ","")&amp;IF(AND(D204&lt;&gt;"",COUNTIFS(AbsMed,D204,AbsDu,"&lt;="&amp;A204,AbsAu,"&gt;="&amp;A204)&gt;0),D204&amp;" absent. ","")</f>
        <v>0</v>
      </c>
    </row>
    <row r="205" spans="1:5">
      <c r="A205" s="10">
        <f>Debut+203</f>
        <v>2027-07-23 00:00:00</v>
      </c>
      <c r="B205" s="6">
        <f>IF(COUNTIF(Feries,A205)&gt;0,"Férié",IF(WEEKDAY(A205,2)=6,"Samedi",IF(WEEKDAY(A205,2)=7,"Dimanche","Semaine")))</f>
        <v>0</v>
      </c>
      <c r="C205" s="8"/>
      <c r="D205" s="8"/>
      <c r="E205" s="11">
        <f>IF(AND(C205&lt;&gt;"",C205=C204),"Ligne 1 : même médecin deux jours de suite. ","")&amp;IF(AND(D205&lt;&gt;"",D205=D204),"Ligne 2 : même médecin deux jours de suite. ","")&amp;IF(AND(C205&lt;&gt;"",C205=D205),"Même médecin sur les deux lignes. ","")&amp;IF(AND(C205&lt;&gt;"",COUNTIFS(AbsMed,C205,AbsDu,"&lt;="&amp;A205,AbsAu,"&gt;="&amp;A205)&gt;0),C205&amp;" absent. ","")&amp;IF(AND(D205&lt;&gt;"",COUNTIFS(AbsMed,D205,AbsDu,"&lt;="&amp;A205,AbsAu,"&gt;="&amp;A205)&gt;0),D205&amp;" absent. ","")</f>
        <v>0</v>
      </c>
    </row>
    <row r="206" spans="1:5">
      <c r="A206" s="10">
        <f>Debut+204</f>
        <v>2027-07-24 00:00:00</v>
      </c>
      <c r="B206" s="6">
        <f>IF(COUNTIF(Feries,A206)&gt;0,"Férié",IF(WEEKDAY(A206,2)=6,"Samedi",IF(WEEKDAY(A206,2)=7,"Dimanche","Semaine")))</f>
        <v>0</v>
      </c>
      <c r="C206" s="8"/>
      <c r="D206" s="8"/>
      <c r="E206" s="11">
        <f>IF(AND(C206&lt;&gt;"",C206=C205),"Ligne 1 : même médecin deux jours de suite. ","")&amp;IF(AND(D206&lt;&gt;"",D206=D205),"Ligne 2 : même médecin deux jours de suite. ","")&amp;IF(AND(C206&lt;&gt;"",C206=D206),"Même médecin sur les deux lignes. ","")&amp;IF(AND(C206&lt;&gt;"",COUNTIFS(AbsMed,C206,AbsDu,"&lt;="&amp;A206,AbsAu,"&gt;="&amp;A206)&gt;0),C206&amp;" absent. ","")&amp;IF(AND(D206&lt;&gt;"",COUNTIFS(AbsMed,D206,AbsDu,"&lt;="&amp;A206,AbsAu,"&gt;="&amp;A206)&gt;0),D206&amp;" absent. ","")</f>
        <v>0</v>
      </c>
    </row>
    <row r="207" spans="1:5">
      <c r="A207" s="10">
        <f>Debut+205</f>
        <v>2027-07-25 00:00:00</v>
      </c>
      <c r="B207" s="6">
        <f>IF(COUNTIF(Feries,A207)&gt;0,"Férié",IF(WEEKDAY(A207,2)=6,"Samedi",IF(WEEKDAY(A207,2)=7,"Dimanche","Semaine")))</f>
        <v>0</v>
      </c>
      <c r="C207" s="8"/>
      <c r="D207" s="8"/>
      <c r="E207" s="11">
        <f>IF(AND(C207&lt;&gt;"",C207=C206),"Ligne 1 : même médecin deux jours de suite. ","")&amp;IF(AND(D207&lt;&gt;"",D207=D206),"Ligne 2 : même médecin deux jours de suite. ","")&amp;IF(AND(C207&lt;&gt;"",C207=D207),"Même médecin sur les deux lignes. ","")&amp;IF(AND(C207&lt;&gt;"",COUNTIFS(AbsMed,C207,AbsDu,"&lt;="&amp;A207,AbsAu,"&gt;="&amp;A207)&gt;0),C207&amp;" absent. ","")&amp;IF(AND(D207&lt;&gt;"",COUNTIFS(AbsMed,D207,AbsDu,"&lt;="&amp;A207,AbsAu,"&gt;="&amp;A207)&gt;0),D207&amp;" absent. ","")</f>
        <v>0</v>
      </c>
    </row>
    <row r="208" spans="1:5">
      <c r="A208" s="10">
        <f>Debut+206</f>
        <v>2027-07-26 00:00:00</v>
      </c>
      <c r="B208" s="6">
        <f>IF(COUNTIF(Feries,A208)&gt;0,"Férié",IF(WEEKDAY(A208,2)=6,"Samedi",IF(WEEKDAY(A208,2)=7,"Dimanche","Semaine")))</f>
        <v>0</v>
      </c>
      <c r="C208" s="8"/>
      <c r="D208" s="8"/>
      <c r="E208" s="11">
        <f>IF(AND(C208&lt;&gt;"",C208=C207),"Ligne 1 : même médecin deux jours de suite. ","")&amp;IF(AND(D208&lt;&gt;"",D208=D207),"Ligne 2 : même médecin deux jours de suite. ","")&amp;IF(AND(C208&lt;&gt;"",C208=D208),"Même médecin sur les deux lignes. ","")&amp;IF(AND(C208&lt;&gt;"",COUNTIFS(AbsMed,C208,AbsDu,"&lt;="&amp;A208,AbsAu,"&gt;="&amp;A208)&gt;0),C208&amp;" absent. ","")&amp;IF(AND(D208&lt;&gt;"",COUNTIFS(AbsMed,D208,AbsDu,"&lt;="&amp;A208,AbsAu,"&gt;="&amp;A208)&gt;0),D208&amp;" absent. ","")</f>
        <v>0</v>
      </c>
    </row>
    <row r="209" spans="1:5">
      <c r="A209" s="10">
        <f>Debut+207</f>
        <v>2027-07-27 00:00:00</v>
      </c>
      <c r="B209" s="6">
        <f>IF(COUNTIF(Feries,A209)&gt;0,"Férié",IF(WEEKDAY(A209,2)=6,"Samedi",IF(WEEKDAY(A209,2)=7,"Dimanche","Semaine")))</f>
        <v>0</v>
      </c>
      <c r="C209" s="8"/>
      <c r="D209" s="8"/>
      <c r="E209" s="11">
        <f>IF(AND(C209&lt;&gt;"",C209=C208),"Ligne 1 : même médecin deux jours de suite. ","")&amp;IF(AND(D209&lt;&gt;"",D209=D208),"Ligne 2 : même médecin deux jours de suite. ","")&amp;IF(AND(C209&lt;&gt;"",C209=D209),"Même médecin sur les deux lignes. ","")&amp;IF(AND(C209&lt;&gt;"",COUNTIFS(AbsMed,C209,AbsDu,"&lt;="&amp;A209,AbsAu,"&gt;="&amp;A209)&gt;0),C209&amp;" absent. ","")&amp;IF(AND(D209&lt;&gt;"",COUNTIFS(AbsMed,D209,AbsDu,"&lt;="&amp;A209,AbsAu,"&gt;="&amp;A209)&gt;0),D209&amp;" absent. ","")</f>
        <v>0</v>
      </c>
    </row>
    <row r="210" spans="1:5">
      <c r="A210" s="10">
        <f>Debut+208</f>
        <v>2027-07-28 00:00:00</v>
      </c>
      <c r="B210" s="6">
        <f>IF(COUNTIF(Feries,A210)&gt;0,"Férié",IF(WEEKDAY(A210,2)=6,"Samedi",IF(WEEKDAY(A210,2)=7,"Dimanche","Semaine")))</f>
        <v>0</v>
      </c>
      <c r="C210" s="8"/>
      <c r="D210" s="8"/>
      <c r="E210" s="11">
        <f>IF(AND(C210&lt;&gt;"",C210=C209),"Ligne 1 : même médecin deux jours de suite. ","")&amp;IF(AND(D210&lt;&gt;"",D210=D209),"Ligne 2 : même médecin deux jours de suite. ","")&amp;IF(AND(C210&lt;&gt;"",C210=D210),"Même médecin sur les deux lignes. ","")&amp;IF(AND(C210&lt;&gt;"",COUNTIFS(AbsMed,C210,AbsDu,"&lt;="&amp;A210,AbsAu,"&gt;="&amp;A210)&gt;0),C210&amp;" absent. ","")&amp;IF(AND(D210&lt;&gt;"",COUNTIFS(AbsMed,D210,AbsDu,"&lt;="&amp;A210,AbsAu,"&gt;="&amp;A210)&gt;0),D210&amp;" absent. ","")</f>
        <v>0</v>
      </c>
    </row>
    <row r="211" spans="1:5">
      <c r="A211" s="10">
        <f>Debut+209</f>
        <v>2027-07-29 00:00:00</v>
      </c>
      <c r="B211" s="6">
        <f>IF(COUNTIF(Feries,A211)&gt;0,"Férié",IF(WEEKDAY(A211,2)=6,"Samedi",IF(WEEKDAY(A211,2)=7,"Dimanche","Semaine")))</f>
        <v>0</v>
      </c>
      <c r="C211" s="8"/>
      <c r="D211" s="8"/>
      <c r="E211" s="11">
        <f>IF(AND(C211&lt;&gt;"",C211=C210),"Ligne 1 : même médecin deux jours de suite. ","")&amp;IF(AND(D211&lt;&gt;"",D211=D210),"Ligne 2 : même médecin deux jours de suite. ","")&amp;IF(AND(C211&lt;&gt;"",C211=D211),"Même médecin sur les deux lignes. ","")&amp;IF(AND(C211&lt;&gt;"",COUNTIFS(AbsMed,C211,AbsDu,"&lt;="&amp;A211,AbsAu,"&gt;="&amp;A211)&gt;0),C211&amp;" absent. ","")&amp;IF(AND(D211&lt;&gt;"",COUNTIFS(AbsMed,D211,AbsDu,"&lt;="&amp;A211,AbsAu,"&gt;="&amp;A211)&gt;0),D211&amp;" absent. ","")</f>
        <v>0</v>
      </c>
    </row>
    <row r="212" spans="1:5">
      <c r="A212" s="10">
        <f>Debut+210</f>
        <v>2027-07-30 00:00:00</v>
      </c>
      <c r="B212" s="6">
        <f>IF(COUNTIF(Feries,A212)&gt;0,"Férié",IF(WEEKDAY(A212,2)=6,"Samedi",IF(WEEKDAY(A212,2)=7,"Dimanche","Semaine")))</f>
        <v>0</v>
      </c>
      <c r="C212" s="8"/>
      <c r="D212" s="8"/>
      <c r="E212" s="11">
        <f>IF(AND(C212&lt;&gt;"",C212=C211),"Ligne 1 : même médecin deux jours de suite. ","")&amp;IF(AND(D212&lt;&gt;"",D212=D211),"Ligne 2 : même médecin deux jours de suite. ","")&amp;IF(AND(C212&lt;&gt;"",C212=D212),"Même médecin sur les deux lignes. ","")&amp;IF(AND(C212&lt;&gt;"",COUNTIFS(AbsMed,C212,AbsDu,"&lt;="&amp;A212,AbsAu,"&gt;="&amp;A212)&gt;0),C212&amp;" absent. ","")&amp;IF(AND(D212&lt;&gt;"",COUNTIFS(AbsMed,D212,AbsDu,"&lt;="&amp;A212,AbsAu,"&gt;="&amp;A212)&gt;0),D212&amp;" absent. ","")</f>
        <v>0</v>
      </c>
    </row>
    <row r="213" spans="1:5">
      <c r="A213" s="10">
        <f>Debut+211</f>
        <v>2027-07-31 00:00:00</v>
      </c>
      <c r="B213" s="6">
        <f>IF(COUNTIF(Feries,A213)&gt;0,"Férié",IF(WEEKDAY(A213,2)=6,"Samedi",IF(WEEKDAY(A213,2)=7,"Dimanche","Semaine")))</f>
        <v>0</v>
      </c>
      <c r="C213" s="8"/>
      <c r="D213" s="8"/>
      <c r="E213" s="11">
        <f>IF(AND(C213&lt;&gt;"",C213=C212),"Ligne 1 : même médecin deux jours de suite. ","")&amp;IF(AND(D213&lt;&gt;"",D213=D212),"Ligne 2 : même médecin deux jours de suite. ","")&amp;IF(AND(C213&lt;&gt;"",C213=D213),"Même médecin sur les deux lignes. ","")&amp;IF(AND(C213&lt;&gt;"",COUNTIFS(AbsMed,C213,AbsDu,"&lt;="&amp;A213,AbsAu,"&gt;="&amp;A213)&gt;0),C213&amp;" absent. ","")&amp;IF(AND(D213&lt;&gt;"",COUNTIFS(AbsMed,D213,AbsDu,"&lt;="&amp;A213,AbsAu,"&gt;="&amp;A213)&gt;0),D213&amp;" absent. ","")</f>
        <v>0</v>
      </c>
    </row>
    <row r="214" spans="1:5">
      <c r="A214" s="10">
        <f>Debut+212</f>
        <v>2027-08-01 00:00:00</v>
      </c>
      <c r="B214" s="6">
        <f>IF(COUNTIF(Feries,A214)&gt;0,"Férié",IF(WEEKDAY(A214,2)=6,"Samedi",IF(WEEKDAY(A214,2)=7,"Dimanche","Semaine")))</f>
        <v>0</v>
      </c>
      <c r="C214" s="8"/>
      <c r="D214" s="8"/>
      <c r="E214" s="11">
        <f>IF(AND(C214&lt;&gt;"",C214=C213),"Ligne 1 : même médecin deux jours de suite. ","")&amp;IF(AND(D214&lt;&gt;"",D214=D213),"Ligne 2 : même médecin deux jours de suite. ","")&amp;IF(AND(C214&lt;&gt;"",C214=D214),"Même médecin sur les deux lignes. ","")&amp;IF(AND(C214&lt;&gt;"",COUNTIFS(AbsMed,C214,AbsDu,"&lt;="&amp;A214,AbsAu,"&gt;="&amp;A214)&gt;0),C214&amp;" absent. ","")&amp;IF(AND(D214&lt;&gt;"",COUNTIFS(AbsMed,D214,AbsDu,"&lt;="&amp;A214,AbsAu,"&gt;="&amp;A214)&gt;0),D214&amp;" absent. ","")</f>
        <v>0</v>
      </c>
    </row>
    <row r="215" spans="1:5">
      <c r="A215" s="10">
        <f>Debut+213</f>
        <v>2027-08-02 00:00:00</v>
      </c>
      <c r="B215" s="6">
        <f>IF(COUNTIF(Feries,A215)&gt;0,"Férié",IF(WEEKDAY(A215,2)=6,"Samedi",IF(WEEKDAY(A215,2)=7,"Dimanche","Semaine")))</f>
        <v>0</v>
      </c>
      <c r="C215" s="8"/>
      <c r="D215" s="8"/>
      <c r="E215" s="11">
        <f>IF(AND(C215&lt;&gt;"",C215=C214),"Ligne 1 : même médecin deux jours de suite. ","")&amp;IF(AND(D215&lt;&gt;"",D215=D214),"Ligne 2 : même médecin deux jours de suite. ","")&amp;IF(AND(C215&lt;&gt;"",C215=D215),"Même médecin sur les deux lignes. ","")&amp;IF(AND(C215&lt;&gt;"",COUNTIFS(AbsMed,C215,AbsDu,"&lt;="&amp;A215,AbsAu,"&gt;="&amp;A215)&gt;0),C215&amp;" absent. ","")&amp;IF(AND(D215&lt;&gt;"",COUNTIFS(AbsMed,D215,AbsDu,"&lt;="&amp;A215,AbsAu,"&gt;="&amp;A215)&gt;0),D215&amp;" absent. ","")</f>
        <v>0</v>
      </c>
    </row>
    <row r="216" spans="1:5">
      <c r="A216" s="10">
        <f>Debut+214</f>
        <v>2027-08-03 00:00:00</v>
      </c>
      <c r="B216" s="6">
        <f>IF(COUNTIF(Feries,A216)&gt;0,"Férié",IF(WEEKDAY(A216,2)=6,"Samedi",IF(WEEKDAY(A216,2)=7,"Dimanche","Semaine")))</f>
        <v>0</v>
      </c>
      <c r="C216" s="8"/>
      <c r="D216" s="8"/>
      <c r="E216" s="11">
        <f>IF(AND(C216&lt;&gt;"",C216=C215),"Ligne 1 : même médecin deux jours de suite. ","")&amp;IF(AND(D216&lt;&gt;"",D216=D215),"Ligne 2 : même médecin deux jours de suite. ","")&amp;IF(AND(C216&lt;&gt;"",C216=D216),"Même médecin sur les deux lignes. ","")&amp;IF(AND(C216&lt;&gt;"",COUNTIFS(AbsMed,C216,AbsDu,"&lt;="&amp;A216,AbsAu,"&gt;="&amp;A216)&gt;0),C216&amp;" absent. ","")&amp;IF(AND(D216&lt;&gt;"",COUNTIFS(AbsMed,D216,AbsDu,"&lt;="&amp;A216,AbsAu,"&gt;="&amp;A216)&gt;0),D216&amp;" absent. ","")</f>
        <v>0</v>
      </c>
    </row>
    <row r="217" spans="1:5">
      <c r="A217" s="10">
        <f>Debut+215</f>
        <v>2027-08-04 00:00:00</v>
      </c>
      <c r="B217" s="6">
        <f>IF(COUNTIF(Feries,A217)&gt;0,"Férié",IF(WEEKDAY(A217,2)=6,"Samedi",IF(WEEKDAY(A217,2)=7,"Dimanche","Semaine")))</f>
        <v>0</v>
      </c>
      <c r="C217" s="8"/>
      <c r="D217" s="8"/>
      <c r="E217" s="11">
        <f>IF(AND(C217&lt;&gt;"",C217=C216),"Ligne 1 : même médecin deux jours de suite. ","")&amp;IF(AND(D217&lt;&gt;"",D217=D216),"Ligne 2 : même médecin deux jours de suite. ","")&amp;IF(AND(C217&lt;&gt;"",C217=D217),"Même médecin sur les deux lignes. ","")&amp;IF(AND(C217&lt;&gt;"",COUNTIFS(AbsMed,C217,AbsDu,"&lt;="&amp;A217,AbsAu,"&gt;="&amp;A217)&gt;0),C217&amp;" absent. ","")&amp;IF(AND(D217&lt;&gt;"",COUNTIFS(AbsMed,D217,AbsDu,"&lt;="&amp;A217,AbsAu,"&gt;="&amp;A217)&gt;0),D217&amp;" absent. ","")</f>
        <v>0</v>
      </c>
    </row>
    <row r="218" spans="1:5">
      <c r="A218" s="10">
        <f>Debut+216</f>
        <v>2027-08-05 00:00:00</v>
      </c>
      <c r="B218" s="6">
        <f>IF(COUNTIF(Feries,A218)&gt;0,"Férié",IF(WEEKDAY(A218,2)=6,"Samedi",IF(WEEKDAY(A218,2)=7,"Dimanche","Semaine")))</f>
        <v>0</v>
      </c>
      <c r="C218" s="8"/>
      <c r="D218" s="8"/>
      <c r="E218" s="11">
        <f>IF(AND(C218&lt;&gt;"",C218=C217),"Ligne 1 : même médecin deux jours de suite. ","")&amp;IF(AND(D218&lt;&gt;"",D218=D217),"Ligne 2 : même médecin deux jours de suite. ","")&amp;IF(AND(C218&lt;&gt;"",C218=D218),"Même médecin sur les deux lignes. ","")&amp;IF(AND(C218&lt;&gt;"",COUNTIFS(AbsMed,C218,AbsDu,"&lt;="&amp;A218,AbsAu,"&gt;="&amp;A218)&gt;0),C218&amp;" absent. ","")&amp;IF(AND(D218&lt;&gt;"",COUNTIFS(AbsMed,D218,AbsDu,"&lt;="&amp;A218,AbsAu,"&gt;="&amp;A218)&gt;0),D218&amp;" absent. ","")</f>
        <v>0</v>
      </c>
    </row>
    <row r="219" spans="1:5">
      <c r="A219" s="10">
        <f>Debut+217</f>
        <v>2027-08-06 00:00:00</v>
      </c>
      <c r="B219" s="6">
        <f>IF(COUNTIF(Feries,A219)&gt;0,"Férié",IF(WEEKDAY(A219,2)=6,"Samedi",IF(WEEKDAY(A219,2)=7,"Dimanche","Semaine")))</f>
        <v>0</v>
      </c>
      <c r="C219" s="8"/>
      <c r="D219" s="8"/>
      <c r="E219" s="11">
        <f>IF(AND(C219&lt;&gt;"",C219=C218),"Ligne 1 : même médecin deux jours de suite. ","")&amp;IF(AND(D219&lt;&gt;"",D219=D218),"Ligne 2 : même médecin deux jours de suite. ","")&amp;IF(AND(C219&lt;&gt;"",C219=D219),"Même médecin sur les deux lignes. ","")&amp;IF(AND(C219&lt;&gt;"",COUNTIFS(AbsMed,C219,AbsDu,"&lt;="&amp;A219,AbsAu,"&gt;="&amp;A219)&gt;0),C219&amp;" absent. ","")&amp;IF(AND(D219&lt;&gt;"",COUNTIFS(AbsMed,D219,AbsDu,"&lt;="&amp;A219,AbsAu,"&gt;="&amp;A219)&gt;0),D219&amp;" absent. ","")</f>
        <v>0</v>
      </c>
    </row>
    <row r="220" spans="1:5">
      <c r="A220" s="10">
        <f>Debut+218</f>
        <v>2027-08-07 00:00:00</v>
      </c>
      <c r="B220" s="6">
        <f>IF(COUNTIF(Feries,A220)&gt;0,"Férié",IF(WEEKDAY(A220,2)=6,"Samedi",IF(WEEKDAY(A220,2)=7,"Dimanche","Semaine")))</f>
        <v>0</v>
      </c>
      <c r="C220" s="8"/>
      <c r="D220" s="8"/>
      <c r="E220" s="11">
        <f>IF(AND(C220&lt;&gt;"",C220=C219),"Ligne 1 : même médecin deux jours de suite. ","")&amp;IF(AND(D220&lt;&gt;"",D220=D219),"Ligne 2 : même médecin deux jours de suite. ","")&amp;IF(AND(C220&lt;&gt;"",C220=D220),"Même médecin sur les deux lignes. ","")&amp;IF(AND(C220&lt;&gt;"",COUNTIFS(AbsMed,C220,AbsDu,"&lt;="&amp;A220,AbsAu,"&gt;="&amp;A220)&gt;0),C220&amp;" absent. ","")&amp;IF(AND(D220&lt;&gt;"",COUNTIFS(AbsMed,D220,AbsDu,"&lt;="&amp;A220,AbsAu,"&gt;="&amp;A220)&gt;0),D220&amp;" absent. ","")</f>
        <v>0</v>
      </c>
    </row>
    <row r="221" spans="1:5">
      <c r="A221" s="10">
        <f>Debut+219</f>
        <v>2027-08-08 00:00:00</v>
      </c>
      <c r="B221" s="6">
        <f>IF(COUNTIF(Feries,A221)&gt;0,"Férié",IF(WEEKDAY(A221,2)=6,"Samedi",IF(WEEKDAY(A221,2)=7,"Dimanche","Semaine")))</f>
        <v>0</v>
      </c>
      <c r="C221" s="8"/>
      <c r="D221" s="8"/>
      <c r="E221" s="11">
        <f>IF(AND(C221&lt;&gt;"",C221=C220),"Ligne 1 : même médecin deux jours de suite. ","")&amp;IF(AND(D221&lt;&gt;"",D221=D220),"Ligne 2 : même médecin deux jours de suite. ","")&amp;IF(AND(C221&lt;&gt;"",C221=D221),"Même médecin sur les deux lignes. ","")&amp;IF(AND(C221&lt;&gt;"",COUNTIFS(AbsMed,C221,AbsDu,"&lt;="&amp;A221,AbsAu,"&gt;="&amp;A221)&gt;0),C221&amp;" absent. ","")&amp;IF(AND(D221&lt;&gt;"",COUNTIFS(AbsMed,D221,AbsDu,"&lt;="&amp;A221,AbsAu,"&gt;="&amp;A221)&gt;0),D221&amp;" absent. ","")</f>
        <v>0</v>
      </c>
    </row>
    <row r="222" spans="1:5">
      <c r="A222" s="10">
        <f>Debut+220</f>
        <v>2027-08-09 00:00:00</v>
      </c>
      <c r="B222" s="6">
        <f>IF(COUNTIF(Feries,A222)&gt;0,"Férié",IF(WEEKDAY(A222,2)=6,"Samedi",IF(WEEKDAY(A222,2)=7,"Dimanche","Semaine")))</f>
        <v>0</v>
      </c>
      <c r="C222" s="8"/>
      <c r="D222" s="8"/>
      <c r="E222" s="11">
        <f>IF(AND(C222&lt;&gt;"",C222=C221),"Ligne 1 : même médecin deux jours de suite. ","")&amp;IF(AND(D222&lt;&gt;"",D222=D221),"Ligne 2 : même médecin deux jours de suite. ","")&amp;IF(AND(C222&lt;&gt;"",C222=D222),"Même médecin sur les deux lignes. ","")&amp;IF(AND(C222&lt;&gt;"",COUNTIFS(AbsMed,C222,AbsDu,"&lt;="&amp;A222,AbsAu,"&gt;="&amp;A222)&gt;0),C222&amp;" absent. ","")&amp;IF(AND(D222&lt;&gt;"",COUNTIFS(AbsMed,D222,AbsDu,"&lt;="&amp;A222,AbsAu,"&gt;="&amp;A222)&gt;0),D222&amp;" absent. ","")</f>
        <v>0</v>
      </c>
    </row>
    <row r="223" spans="1:5">
      <c r="A223" s="10">
        <f>Debut+221</f>
        <v>2027-08-10 00:00:00</v>
      </c>
      <c r="B223" s="6">
        <f>IF(COUNTIF(Feries,A223)&gt;0,"Férié",IF(WEEKDAY(A223,2)=6,"Samedi",IF(WEEKDAY(A223,2)=7,"Dimanche","Semaine")))</f>
        <v>0</v>
      </c>
      <c r="C223" s="8"/>
      <c r="D223" s="8"/>
      <c r="E223" s="11">
        <f>IF(AND(C223&lt;&gt;"",C223=C222),"Ligne 1 : même médecin deux jours de suite. ","")&amp;IF(AND(D223&lt;&gt;"",D223=D222),"Ligne 2 : même médecin deux jours de suite. ","")&amp;IF(AND(C223&lt;&gt;"",C223=D223),"Même médecin sur les deux lignes. ","")&amp;IF(AND(C223&lt;&gt;"",COUNTIFS(AbsMed,C223,AbsDu,"&lt;="&amp;A223,AbsAu,"&gt;="&amp;A223)&gt;0),C223&amp;" absent. ","")&amp;IF(AND(D223&lt;&gt;"",COUNTIFS(AbsMed,D223,AbsDu,"&lt;="&amp;A223,AbsAu,"&gt;="&amp;A223)&gt;0),D223&amp;" absent. ","")</f>
        <v>0</v>
      </c>
    </row>
    <row r="224" spans="1:5">
      <c r="A224" s="10">
        <f>Debut+222</f>
        <v>2027-08-11 00:00:00</v>
      </c>
      <c r="B224" s="6">
        <f>IF(COUNTIF(Feries,A224)&gt;0,"Férié",IF(WEEKDAY(A224,2)=6,"Samedi",IF(WEEKDAY(A224,2)=7,"Dimanche","Semaine")))</f>
        <v>0</v>
      </c>
      <c r="C224" s="8"/>
      <c r="D224" s="8"/>
      <c r="E224" s="11">
        <f>IF(AND(C224&lt;&gt;"",C224=C223),"Ligne 1 : même médecin deux jours de suite. ","")&amp;IF(AND(D224&lt;&gt;"",D224=D223),"Ligne 2 : même médecin deux jours de suite. ","")&amp;IF(AND(C224&lt;&gt;"",C224=D224),"Même médecin sur les deux lignes. ","")&amp;IF(AND(C224&lt;&gt;"",COUNTIFS(AbsMed,C224,AbsDu,"&lt;="&amp;A224,AbsAu,"&gt;="&amp;A224)&gt;0),C224&amp;" absent. ","")&amp;IF(AND(D224&lt;&gt;"",COUNTIFS(AbsMed,D224,AbsDu,"&lt;="&amp;A224,AbsAu,"&gt;="&amp;A224)&gt;0),D224&amp;" absent. ","")</f>
        <v>0</v>
      </c>
    </row>
    <row r="225" spans="1:5">
      <c r="A225" s="10">
        <f>Debut+223</f>
        <v>2027-08-12 00:00:00</v>
      </c>
      <c r="B225" s="6">
        <f>IF(COUNTIF(Feries,A225)&gt;0,"Férié",IF(WEEKDAY(A225,2)=6,"Samedi",IF(WEEKDAY(A225,2)=7,"Dimanche","Semaine")))</f>
        <v>0</v>
      </c>
      <c r="C225" s="8"/>
      <c r="D225" s="8"/>
      <c r="E225" s="11">
        <f>IF(AND(C225&lt;&gt;"",C225=C224),"Ligne 1 : même médecin deux jours de suite. ","")&amp;IF(AND(D225&lt;&gt;"",D225=D224),"Ligne 2 : même médecin deux jours de suite. ","")&amp;IF(AND(C225&lt;&gt;"",C225=D225),"Même médecin sur les deux lignes. ","")&amp;IF(AND(C225&lt;&gt;"",COUNTIFS(AbsMed,C225,AbsDu,"&lt;="&amp;A225,AbsAu,"&gt;="&amp;A225)&gt;0),C225&amp;" absent. ","")&amp;IF(AND(D225&lt;&gt;"",COUNTIFS(AbsMed,D225,AbsDu,"&lt;="&amp;A225,AbsAu,"&gt;="&amp;A225)&gt;0),D225&amp;" absent. ","")</f>
        <v>0</v>
      </c>
    </row>
    <row r="226" spans="1:5">
      <c r="A226" s="10">
        <f>Debut+224</f>
        <v>2027-08-13 00:00:00</v>
      </c>
      <c r="B226" s="6">
        <f>IF(COUNTIF(Feries,A226)&gt;0,"Férié",IF(WEEKDAY(A226,2)=6,"Samedi",IF(WEEKDAY(A226,2)=7,"Dimanche","Semaine")))</f>
        <v>0</v>
      </c>
      <c r="C226" s="8"/>
      <c r="D226" s="8"/>
      <c r="E226" s="11">
        <f>IF(AND(C226&lt;&gt;"",C226=C225),"Ligne 1 : même médecin deux jours de suite. ","")&amp;IF(AND(D226&lt;&gt;"",D226=D225),"Ligne 2 : même médecin deux jours de suite. ","")&amp;IF(AND(C226&lt;&gt;"",C226=D226),"Même médecin sur les deux lignes. ","")&amp;IF(AND(C226&lt;&gt;"",COUNTIFS(AbsMed,C226,AbsDu,"&lt;="&amp;A226,AbsAu,"&gt;="&amp;A226)&gt;0),C226&amp;" absent. ","")&amp;IF(AND(D226&lt;&gt;"",COUNTIFS(AbsMed,D226,AbsDu,"&lt;="&amp;A226,AbsAu,"&gt;="&amp;A226)&gt;0),D226&amp;" absent. ","")</f>
        <v>0</v>
      </c>
    </row>
    <row r="227" spans="1:5">
      <c r="A227" s="10">
        <f>Debut+225</f>
        <v>2027-08-14 00:00:00</v>
      </c>
      <c r="B227" s="6">
        <f>IF(COUNTIF(Feries,A227)&gt;0,"Férié",IF(WEEKDAY(A227,2)=6,"Samedi",IF(WEEKDAY(A227,2)=7,"Dimanche","Semaine")))</f>
        <v>0</v>
      </c>
      <c r="C227" s="8"/>
      <c r="D227" s="8"/>
      <c r="E227" s="11">
        <f>IF(AND(C227&lt;&gt;"",C227=C226),"Ligne 1 : même médecin deux jours de suite. ","")&amp;IF(AND(D227&lt;&gt;"",D227=D226),"Ligne 2 : même médecin deux jours de suite. ","")&amp;IF(AND(C227&lt;&gt;"",C227=D227),"Même médecin sur les deux lignes. ","")&amp;IF(AND(C227&lt;&gt;"",COUNTIFS(AbsMed,C227,AbsDu,"&lt;="&amp;A227,AbsAu,"&gt;="&amp;A227)&gt;0),C227&amp;" absent. ","")&amp;IF(AND(D227&lt;&gt;"",COUNTIFS(AbsMed,D227,AbsDu,"&lt;="&amp;A227,AbsAu,"&gt;="&amp;A227)&gt;0),D227&amp;" absent. ","")</f>
        <v>0</v>
      </c>
    </row>
    <row r="228" spans="1:5">
      <c r="A228" s="10">
        <f>Debut+226</f>
        <v>2027-08-15 00:00:00</v>
      </c>
      <c r="B228" s="6">
        <f>IF(COUNTIF(Feries,A228)&gt;0,"Férié",IF(WEEKDAY(A228,2)=6,"Samedi",IF(WEEKDAY(A228,2)=7,"Dimanche","Semaine")))</f>
        <v>0</v>
      </c>
      <c r="C228" s="8"/>
      <c r="D228" s="8"/>
      <c r="E228" s="11">
        <f>IF(AND(C228&lt;&gt;"",C228=C227),"Ligne 1 : même médecin deux jours de suite. ","")&amp;IF(AND(D228&lt;&gt;"",D228=D227),"Ligne 2 : même médecin deux jours de suite. ","")&amp;IF(AND(C228&lt;&gt;"",C228=D228),"Même médecin sur les deux lignes. ","")&amp;IF(AND(C228&lt;&gt;"",COUNTIFS(AbsMed,C228,AbsDu,"&lt;="&amp;A228,AbsAu,"&gt;="&amp;A228)&gt;0),C228&amp;" absent. ","")&amp;IF(AND(D228&lt;&gt;"",COUNTIFS(AbsMed,D228,AbsDu,"&lt;="&amp;A228,AbsAu,"&gt;="&amp;A228)&gt;0),D228&amp;" absent. ","")</f>
        <v>0</v>
      </c>
    </row>
    <row r="229" spans="1:5">
      <c r="A229" s="10">
        <f>Debut+227</f>
        <v>2027-08-16 00:00:00</v>
      </c>
      <c r="B229" s="6">
        <f>IF(COUNTIF(Feries,A229)&gt;0,"Férié",IF(WEEKDAY(A229,2)=6,"Samedi",IF(WEEKDAY(A229,2)=7,"Dimanche","Semaine")))</f>
        <v>0</v>
      </c>
      <c r="C229" s="8"/>
      <c r="D229" s="8"/>
      <c r="E229" s="11">
        <f>IF(AND(C229&lt;&gt;"",C229=C228),"Ligne 1 : même médecin deux jours de suite. ","")&amp;IF(AND(D229&lt;&gt;"",D229=D228),"Ligne 2 : même médecin deux jours de suite. ","")&amp;IF(AND(C229&lt;&gt;"",C229=D229),"Même médecin sur les deux lignes. ","")&amp;IF(AND(C229&lt;&gt;"",COUNTIFS(AbsMed,C229,AbsDu,"&lt;="&amp;A229,AbsAu,"&gt;="&amp;A229)&gt;0),C229&amp;" absent. ","")&amp;IF(AND(D229&lt;&gt;"",COUNTIFS(AbsMed,D229,AbsDu,"&lt;="&amp;A229,AbsAu,"&gt;="&amp;A229)&gt;0),D229&amp;" absent. ","")</f>
        <v>0</v>
      </c>
    </row>
    <row r="230" spans="1:5">
      <c r="A230" s="10">
        <f>Debut+228</f>
        <v>2027-08-17 00:00:00</v>
      </c>
      <c r="B230" s="6">
        <f>IF(COUNTIF(Feries,A230)&gt;0,"Férié",IF(WEEKDAY(A230,2)=6,"Samedi",IF(WEEKDAY(A230,2)=7,"Dimanche","Semaine")))</f>
        <v>0</v>
      </c>
      <c r="C230" s="8"/>
      <c r="D230" s="8"/>
      <c r="E230" s="11">
        <f>IF(AND(C230&lt;&gt;"",C230=C229),"Ligne 1 : même médecin deux jours de suite. ","")&amp;IF(AND(D230&lt;&gt;"",D230=D229),"Ligne 2 : même médecin deux jours de suite. ","")&amp;IF(AND(C230&lt;&gt;"",C230=D230),"Même médecin sur les deux lignes. ","")&amp;IF(AND(C230&lt;&gt;"",COUNTIFS(AbsMed,C230,AbsDu,"&lt;="&amp;A230,AbsAu,"&gt;="&amp;A230)&gt;0),C230&amp;" absent. ","")&amp;IF(AND(D230&lt;&gt;"",COUNTIFS(AbsMed,D230,AbsDu,"&lt;="&amp;A230,AbsAu,"&gt;="&amp;A230)&gt;0),D230&amp;" absent. ","")</f>
        <v>0</v>
      </c>
    </row>
    <row r="231" spans="1:5">
      <c r="A231" s="10">
        <f>Debut+229</f>
        <v>2027-08-18 00:00:00</v>
      </c>
      <c r="B231" s="6">
        <f>IF(COUNTIF(Feries,A231)&gt;0,"Férié",IF(WEEKDAY(A231,2)=6,"Samedi",IF(WEEKDAY(A231,2)=7,"Dimanche","Semaine")))</f>
        <v>0</v>
      </c>
      <c r="C231" s="8"/>
      <c r="D231" s="8"/>
      <c r="E231" s="11">
        <f>IF(AND(C231&lt;&gt;"",C231=C230),"Ligne 1 : même médecin deux jours de suite. ","")&amp;IF(AND(D231&lt;&gt;"",D231=D230),"Ligne 2 : même médecin deux jours de suite. ","")&amp;IF(AND(C231&lt;&gt;"",C231=D231),"Même médecin sur les deux lignes. ","")&amp;IF(AND(C231&lt;&gt;"",COUNTIFS(AbsMed,C231,AbsDu,"&lt;="&amp;A231,AbsAu,"&gt;="&amp;A231)&gt;0),C231&amp;" absent. ","")&amp;IF(AND(D231&lt;&gt;"",COUNTIFS(AbsMed,D231,AbsDu,"&lt;="&amp;A231,AbsAu,"&gt;="&amp;A231)&gt;0),D231&amp;" absent. ","")</f>
        <v>0</v>
      </c>
    </row>
    <row r="232" spans="1:5">
      <c r="A232" s="10">
        <f>Debut+230</f>
        <v>2027-08-19 00:00:00</v>
      </c>
      <c r="B232" s="6">
        <f>IF(COUNTIF(Feries,A232)&gt;0,"Férié",IF(WEEKDAY(A232,2)=6,"Samedi",IF(WEEKDAY(A232,2)=7,"Dimanche","Semaine")))</f>
        <v>0</v>
      </c>
      <c r="C232" s="8"/>
      <c r="D232" s="8"/>
      <c r="E232" s="11">
        <f>IF(AND(C232&lt;&gt;"",C232=C231),"Ligne 1 : même médecin deux jours de suite. ","")&amp;IF(AND(D232&lt;&gt;"",D232=D231),"Ligne 2 : même médecin deux jours de suite. ","")&amp;IF(AND(C232&lt;&gt;"",C232=D232),"Même médecin sur les deux lignes. ","")&amp;IF(AND(C232&lt;&gt;"",COUNTIFS(AbsMed,C232,AbsDu,"&lt;="&amp;A232,AbsAu,"&gt;="&amp;A232)&gt;0),C232&amp;" absent. ","")&amp;IF(AND(D232&lt;&gt;"",COUNTIFS(AbsMed,D232,AbsDu,"&lt;="&amp;A232,AbsAu,"&gt;="&amp;A232)&gt;0),D232&amp;" absent. ","")</f>
        <v>0</v>
      </c>
    </row>
    <row r="233" spans="1:5">
      <c r="A233" s="10">
        <f>Debut+231</f>
        <v>2027-08-20 00:00:00</v>
      </c>
      <c r="B233" s="6">
        <f>IF(COUNTIF(Feries,A233)&gt;0,"Férié",IF(WEEKDAY(A233,2)=6,"Samedi",IF(WEEKDAY(A233,2)=7,"Dimanche","Semaine")))</f>
        <v>0</v>
      </c>
      <c r="C233" s="8"/>
      <c r="D233" s="8"/>
      <c r="E233" s="11">
        <f>IF(AND(C233&lt;&gt;"",C233=C232),"Ligne 1 : même médecin deux jours de suite. ","")&amp;IF(AND(D233&lt;&gt;"",D233=D232),"Ligne 2 : même médecin deux jours de suite. ","")&amp;IF(AND(C233&lt;&gt;"",C233=D233),"Même médecin sur les deux lignes. ","")&amp;IF(AND(C233&lt;&gt;"",COUNTIFS(AbsMed,C233,AbsDu,"&lt;="&amp;A233,AbsAu,"&gt;="&amp;A233)&gt;0),C233&amp;" absent. ","")&amp;IF(AND(D233&lt;&gt;"",COUNTIFS(AbsMed,D233,AbsDu,"&lt;="&amp;A233,AbsAu,"&gt;="&amp;A233)&gt;0),D233&amp;" absent. ","")</f>
        <v>0</v>
      </c>
    </row>
    <row r="234" spans="1:5">
      <c r="A234" s="10">
        <f>Debut+232</f>
        <v>2027-08-21 00:00:00</v>
      </c>
      <c r="B234" s="6">
        <f>IF(COUNTIF(Feries,A234)&gt;0,"Férié",IF(WEEKDAY(A234,2)=6,"Samedi",IF(WEEKDAY(A234,2)=7,"Dimanche","Semaine")))</f>
        <v>0</v>
      </c>
      <c r="C234" s="8"/>
      <c r="D234" s="8"/>
      <c r="E234" s="11">
        <f>IF(AND(C234&lt;&gt;"",C234=C233),"Ligne 1 : même médecin deux jours de suite. ","")&amp;IF(AND(D234&lt;&gt;"",D234=D233),"Ligne 2 : même médecin deux jours de suite. ","")&amp;IF(AND(C234&lt;&gt;"",C234=D234),"Même médecin sur les deux lignes. ","")&amp;IF(AND(C234&lt;&gt;"",COUNTIFS(AbsMed,C234,AbsDu,"&lt;="&amp;A234,AbsAu,"&gt;="&amp;A234)&gt;0),C234&amp;" absent. ","")&amp;IF(AND(D234&lt;&gt;"",COUNTIFS(AbsMed,D234,AbsDu,"&lt;="&amp;A234,AbsAu,"&gt;="&amp;A234)&gt;0),D234&amp;" absent. ","")</f>
        <v>0</v>
      </c>
    </row>
    <row r="235" spans="1:5">
      <c r="A235" s="10">
        <f>Debut+233</f>
        <v>2027-08-22 00:00:00</v>
      </c>
      <c r="B235" s="6">
        <f>IF(COUNTIF(Feries,A235)&gt;0,"Férié",IF(WEEKDAY(A235,2)=6,"Samedi",IF(WEEKDAY(A235,2)=7,"Dimanche","Semaine")))</f>
        <v>0</v>
      </c>
      <c r="C235" s="8"/>
      <c r="D235" s="8"/>
      <c r="E235" s="11">
        <f>IF(AND(C235&lt;&gt;"",C235=C234),"Ligne 1 : même médecin deux jours de suite. ","")&amp;IF(AND(D235&lt;&gt;"",D235=D234),"Ligne 2 : même médecin deux jours de suite. ","")&amp;IF(AND(C235&lt;&gt;"",C235=D235),"Même médecin sur les deux lignes. ","")&amp;IF(AND(C235&lt;&gt;"",COUNTIFS(AbsMed,C235,AbsDu,"&lt;="&amp;A235,AbsAu,"&gt;="&amp;A235)&gt;0),C235&amp;" absent. ","")&amp;IF(AND(D235&lt;&gt;"",COUNTIFS(AbsMed,D235,AbsDu,"&lt;="&amp;A235,AbsAu,"&gt;="&amp;A235)&gt;0),D235&amp;" absent. ","")</f>
        <v>0</v>
      </c>
    </row>
    <row r="236" spans="1:5">
      <c r="A236" s="10">
        <f>Debut+234</f>
        <v>2027-08-23 00:00:00</v>
      </c>
      <c r="B236" s="6">
        <f>IF(COUNTIF(Feries,A236)&gt;0,"Férié",IF(WEEKDAY(A236,2)=6,"Samedi",IF(WEEKDAY(A236,2)=7,"Dimanche","Semaine")))</f>
        <v>0</v>
      </c>
      <c r="C236" s="8"/>
      <c r="D236" s="8"/>
      <c r="E236" s="11">
        <f>IF(AND(C236&lt;&gt;"",C236=C235),"Ligne 1 : même médecin deux jours de suite. ","")&amp;IF(AND(D236&lt;&gt;"",D236=D235),"Ligne 2 : même médecin deux jours de suite. ","")&amp;IF(AND(C236&lt;&gt;"",C236=D236),"Même médecin sur les deux lignes. ","")&amp;IF(AND(C236&lt;&gt;"",COUNTIFS(AbsMed,C236,AbsDu,"&lt;="&amp;A236,AbsAu,"&gt;="&amp;A236)&gt;0),C236&amp;" absent. ","")&amp;IF(AND(D236&lt;&gt;"",COUNTIFS(AbsMed,D236,AbsDu,"&lt;="&amp;A236,AbsAu,"&gt;="&amp;A236)&gt;0),D236&amp;" absent. ","")</f>
        <v>0</v>
      </c>
    </row>
    <row r="237" spans="1:5">
      <c r="A237" s="10">
        <f>Debut+235</f>
        <v>2027-08-24 00:00:00</v>
      </c>
      <c r="B237" s="6">
        <f>IF(COUNTIF(Feries,A237)&gt;0,"Férié",IF(WEEKDAY(A237,2)=6,"Samedi",IF(WEEKDAY(A237,2)=7,"Dimanche","Semaine")))</f>
        <v>0</v>
      </c>
      <c r="C237" s="8"/>
      <c r="D237" s="8"/>
      <c r="E237" s="11">
        <f>IF(AND(C237&lt;&gt;"",C237=C236),"Ligne 1 : même médecin deux jours de suite. ","")&amp;IF(AND(D237&lt;&gt;"",D237=D236),"Ligne 2 : même médecin deux jours de suite. ","")&amp;IF(AND(C237&lt;&gt;"",C237=D237),"Même médecin sur les deux lignes. ","")&amp;IF(AND(C237&lt;&gt;"",COUNTIFS(AbsMed,C237,AbsDu,"&lt;="&amp;A237,AbsAu,"&gt;="&amp;A237)&gt;0),C237&amp;" absent. ","")&amp;IF(AND(D237&lt;&gt;"",COUNTIFS(AbsMed,D237,AbsDu,"&lt;="&amp;A237,AbsAu,"&gt;="&amp;A237)&gt;0),D237&amp;" absent. ","")</f>
        <v>0</v>
      </c>
    </row>
    <row r="238" spans="1:5">
      <c r="A238" s="10">
        <f>Debut+236</f>
        <v>2027-08-25 00:00:00</v>
      </c>
      <c r="B238" s="6">
        <f>IF(COUNTIF(Feries,A238)&gt;0,"Férié",IF(WEEKDAY(A238,2)=6,"Samedi",IF(WEEKDAY(A238,2)=7,"Dimanche","Semaine")))</f>
        <v>0</v>
      </c>
      <c r="C238" s="8"/>
      <c r="D238" s="8"/>
      <c r="E238" s="11">
        <f>IF(AND(C238&lt;&gt;"",C238=C237),"Ligne 1 : même médecin deux jours de suite. ","")&amp;IF(AND(D238&lt;&gt;"",D238=D237),"Ligne 2 : même médecin deux jours de suite. ","")&amp;IF(AND(C238&lt;&gt;"",C238=D238),"Même médecin sur les deux lignes. ","")&amp;IF(AND(C238&lt;&gt;"",COUNTIFS(AbsMed,C238,AbsDu,"&lt;="&amp;A238,AbsAu,"&gt;="&amp;A238)&gt;0),C238&amp;" absent. ","")&amp;IF(AND(D238&lt;&gt;"",COUNTIFS(AbsMed,D238,AbsDu,"&lt;="&amp;A238,AbsAu,"&gt;="&amp;A238)&gt;0),D238&amp;" absent. ","")</f>
        <v>0</v>
      </c>
    </row>
    <row r="239" spans="1:5">
      <c r="A239" s="10">
        <f>Debut+237</f>
        <v>2027-08-26 00:00:00</v>
      </c>
      <c r="B239" s="6">
        <f>IF(COUNTIF(Feries,A239)&gt;0,"Férié",IF(WEEKDAY(A239,2)=6,"Samedi",IF(WEEKDAY(A239,2)=7,"Dimanche","Semaine")))</f>
        <v>0</v>
      </c>
      <c r="C239" s="8"/>
      <c r="D239" s="8"/>
      <c r="E239" s="11">
        <f>IF(AND(C239&lt;&gt;"",C239=C238),"Ligne 1 : même médecin deux jours de suite. ","")&amp;IF(AND(D239&lt;&gt;"",D239=D238),"Ligne 2 : même médecin deux jours de suite. ","")&amp;IF(AND(C239&lt;&gt;"",C239=D239),"Même médecin sur les deux lignes. ","")&amp;IF(AND(C239&lt;&gt;"",COUNTIFS(AbsMed,C239,AbsDu,"&lt;="&amp;A239,AbsAu,"&gt;="&amp;A239)&gt;0),C239&amp;" absent. ","")&amp;IF(AND(D239&lt;&gt;"",COUNTIFS(AbsMed,D239,AbsDu,"&lt;="&amp;A239,AbsAu,"&gt;="&amp;A239)&gt;0),D239&amp;" absent. ","")</f>
        <v>0</v>
      </c>
    </row>
    <row r="240" spans="1:5">
      <c r="A240" s="10">
        <f>Debut+238</f>
        <v>2027-08-27 00:00:00</v>
      </c>
      <c r="B240" s="6">
        <f>IF(COUNTIF(Feries,A240)&gt;0,"Férié",IF(WEEKDAY(A240,2)=6,"Samedi",IF(WEEKDAY(A240,2)=7,"Dimanche","Semaine")))</f>
        <v>0</v>
      </c>
      <c r="C240" s="8"/>
      <c r="D240" s="8"/>
      <c r="E240" s="11">
        <f>IF(AND(C240&lt;&gt;"",C240=C239),"Ligne 1 : même médecin deux jours de suite. ","")&amp;IF(AND(D240&lt;&gt;"",D240=D239),"Ligne 2 : même médecin deux jours de suite. ","")&amp;IF(AND(C240&lt;&gt;"",C240=D240),"Même médecin sur les deux lignes. ","")&amp;IF(AND(C240&lt;&gt;"",COUNTIFS(AbsMed,C240,AbsDu,"&lt;="&amp;A240,AbsAu,"&gt;="&amp;A240)&gt;0),C240&amp;" absent. ","")&amp;IF(AND(D240&lt;&gt;"",COUNTIFS(AbsMed,D240,AbsDu,"&lt;="&amp;A240,AbsAu,"&gt;="&amp;A240)&gt;0),D240&amp;" absent. ","")</f>
        <v>0</v>
      </c>
    </row>
    <row r="241" spans="1:5">
      <c r="A241" s="10">
        <f>Debut+239</f>
        <v>2027-08-28 00:00:00</v>
      </c>
      <c r="B241" s="6">
        <f>IF(COUNTIF(Feries,A241)&gt;0,"Férié",IF(WEEKDAY(A241,2)=6,"Samedi",IF(WEEKDAY(A241,2)=7,"Dimanche","Semaine")))</f>
        <v>0</v>
      </c>
      <c r="C241" s="8"/>
      <c r="D241" s="8"/>
      <c r="E241" s="11">
        <f>IF(AND(C241&lt;&gt;"",C241=C240),"Ligne 1 : même médecin deux jours de suite. ","")&amp;IF(AND(D241&lt;&gt;"",D241=D240),"Ligne 2 : même médecin deux jours de suite. ","")&amp;IF(AND(C241&lt;&gt;"",C241=D241),"Même médecin sur les deux lignes. ","")&amp;IF(AND(C241&lt;&gt;"",COUNTIFS(AbsMed,C241,AbsDu,"&lt;="&amp;A241,AbsAu,"&gt;="&amp;A241)&gt;0),C241&amp;" absent. ","")&amp;IF(AND(D241&lt;&gt;"",COUNTIFS(AbsMed,D241,AbsDu,"&lt;="&amp;A241,AbsAu,"&gt;="&amp;A241)&gt;0),D241&amp;" absent. ","")</f>
        <v>0</v>
      </c>
    </row>
    <row r="242" spans="1:5">
      <c r="A242" s="10">
        <f>Debut+240</f>
        <v>2027-08-29 00:00:00</v>
      </c>
      <c r="B242" s="6">
        <f>IF(COUNTIF(Feries,A242)&gt;0,"Férié",IF(WEEKDAY(A242,2)=6,"Samedi",IF(WEEKDAY(A242,2)=7,"Dimanche","Semaine")))</f>
        <v>0</v>
      </c>
      <c r="C242" s="8"/>
      <c r="D242" s="8"/>
      <c r="E242" s="11">
        <f>IF(AND(C242&lt;&gt;"",C242=C241),"Ligne 1 : même médecin deux jours de suite. ","")&amp;IF(AND(D242&lt;&gt;"",D242=D241),"Ligne 2 : même médecin deux jours de suite. ","")&amp;IF(AND(C242&lt;&gt;"",C242=D242),"Même médecin sur les deux lignes. ","")&amp;IF(AND(C242&lt;&gt;"",COUNTIFS(AbsMed,C242,AbsDu,"&lt;="&amp;A242,AbsAu,"&gt;="&amp;A242)&gt;0),C242&amp;" absent. ","")&amp;IF(AND(D242&lt;&gt;"",COUNTIFS(AbsMed,D242,AbsDu,"&lt;="&amp;A242,AbsAu,"&gt;="&amp;A242)&gt;0),D242&amp;" absent. ","")</f>
        <v>0</v>
      </c>
    </row>
    <row r="243" spans="1:5">
      <c r="A243" s="10">
        <f>Debut+241</f>
        <v>2027-08-30 00:00:00</v>
      </c>
      <c r="B243" s="6">
        <f>IF(COUNTIF(Feries,A243)&gt;0,"Férié",IF(WEEKDAY(A243,2)=6,"Samedi",IF(WEEKDAY(A243,2)=7,"Dimanche","Semaine")))</f>
        <v>0</v>
      </c>
      <c r="C243" s="8"/>
      <c r="D243" s="8"/>
      <c r="E243" s="11">
        <f>IF(AND(C243&lt;&gt;"",C243=C242),"Ligne 1 : même médecin deux jours de suite. ","")&amp;IF(AND(D243&lt;&gt;"",D243=D242),"Ligne 2 : même médecin deux jours de suite. ","")&amp;IF(AND(C243&lt;&gt;"",C243=D243),"Même médecin sur les deux lignes. ","")&amp;IF(AND(C243&lt;&gt;"",COUNTIFS(AbsMed,C243,AbsDu,"&lt;="&amp;A243,AbsAu,"&gt;="&amp;A243)&gt;0),C243&amp;" absent. ","")&amp;IF(AND(D243&lt;&gt;"",COUNTIFS(AbsMed,D243,AbsDu,"&lt;="&amp;A243,AbsAu,"&gt;="&amp;A243)&gt;0),D243&amp;" absent. ","")</f>
        <v>0</v>
      </c>
    </row>
    <row r="244" spans="1:5">
      <c r="A244" s="10">
        <f>Debut+242</f>
        <v>2027-08-31 00:00:00</v>
      </c>
      <c r="B244" s="6">
        <f>IF(COUNTIF(Feries,A244)&gt;0,"Férié",IF(WEEKDAY(A244,2)=6,"Samedi",IF(WEEKDAY(A244,2)=7,"Dimanche","Semaine")))</f>
        <v>0</v>
      </c>
      <c r="C244" s="8"/>
      <c r="D244" s="8"/>
      <c r="E244" s="11">
        <f>IF(AND(C244&lt;&gt;"",C244=C243),"Ligne 1 : même médecin deux jours de suite. ","")&amp;IF(AND(D244&lt;&gt;"",D244=D243),"Ligne 2 : même médecin deux jours de suite. ","")&amp;IF(AND(C244&lt;&gt;"",C244=D244),"Même médecin sur les deux lignes. ","")&amp;IF(AND(C244&lt;&gt;"",COUNTIFS(AbsMed,C244,AbsDu,"&lt;="&amp;A244,AbsAu,"&gt;="&amp;A244)&gt;0),C244&amp;" absent. ","")&amp;IF(AND(D244&lt;&gt;"",COUNTIFS(AbsMed,D244,AbsDu,"&lt;="&amp;A244,AbsAu,"&gt;="&amp;A244)&gt;0),D244&amp;" absent. ","")</f>
        <v>0</v>
      </c>
    </row>
    <row r="245" spans="1:5">
      <c r="A245" s="10">
        <f>Debut+243</f>
        <v>2027-09-01 00:00:00</v>
      </c>
      <c r="B245" s="6">
        <f>IF(COUNTIF(Feries,A245)&gt;0,"Férié",IF(WEEKDAY(A245,2)=6,"Samedi",IF(WEEKDAY(A245,2)=7,"Dimanche","Semaine")))</f>
        <v>0</v>
      </c>
      <c r="C245" s="8"/>
      <c r="D245" s="8"/>
      <c r="E245" s="11">
        <f>IF(AND(C245&lt;&gt;"",C245=C244),"Ligne 1 : même médecin deux jours de suite. ","")&amp;IF(AND(D245&lt;&gt;"",D245=D244),"Ligne 2 : même médecin deux jours de suite. ","")&amp;IF(AND(C245&lt;&gt;"",C245=D245),"Même médecin sur les deux lignes. ","")&amp;IF(AND(C245&lt;&gt;"",COUNTIFS(AbsMed,C245,AbsDu,"&lt;="&amp;A245,AbsAu,"&gt;="&amp;A245)&gt;0),C245&amp;" absent. ","")&amp;IF(AND(D245&lt;&gt;"",COUNTIFS(AbsMed,D245,AbsDu,"&lt;="&amp;A245,AbsAu,"&gt;="&amp;A245)&gt;0),D245&amp;" absent. ","")</f>
        <v>0</v>
      </c>
    </row>
    <row r="246" spans="1:5">
      <c r="A246" s="10">
        <f>Debut+244</f>
        <v>2027-09-02 00:00:00</v>
      </c>
      <c r="B246" s="6">
        <f>IF(COUNTIF(Feries,A246)&gt;0,"Férié",IF(WEEKDAY(A246,2)=6,"Samedi",IF(WEEKDAY(A246,2)=7,"Dimanche","Semaine")))</f>
        <v>0</v>
      </c>
      <c r="C246" s="8"/>
      <c r="D246" s="8"/>
      <c r="E246" s="11">
        <f>IF(AND(C246&lt;&gt;"",C246=C245),"Ligne 1 : même médecin deux jours de suite. ","")&amp;IF(AND(D246&lt;&gt;"",D246=D245),"Ligne 2 : même médecin deux jours de suite. ","")&amp;IF(AND(C246&lt;&gt;"",C246=D246),"Même médecin sur les deux lignes. ","")&amp;IF(AND(C246&lt;&gt;"",COUNTIFS(AbsMed,C246,AbsDu,"&lt;="&amp;A246,AbsAu,"&gt;="&amp;A246)&gt;0),C246&amp;" absent. ","")&amp;IF(AND(D246&lt;&gt;"",COUNTIFS(AbsMed,D246,AbsDu,"&lt;="&amp;A246,AbsAu,"&gt;="&amp;A246)&gt;0),D246&amp;" absent. ","")</f>
        <v>0</v>
      </c>
    </row>
    <row r="247" spans="1:5">
      <c r="A247" s="10">
        <f>Debut+245</f>
        <v>2027-09-03 00:00:00</v>
      </c>
      <c r="B247" s="6">
        <f>IF(COUNTIF(Feries,A247)&gt;0,"Férié",IF(WEEKDAY(A247,2)=6,"Samedi",IF(WEEKDAY(A247,2)=7,"Dimanche","Semaine")))</f>
        <v>0</v>
      </c>
      <c r="C247" s="8"/>
      <c r="D247" s="8"/>
      <c r="E247" s="11">
        <f>IF(AND(C247&lt;&gt;"",C247=C246),"Ligne 1 : même médecin deux jours de suite. ","")&amp;IF(AND(D247&lt;&gt;"",D247=D246),"Ligne 2 : même médecin deux jours de suite. ","")&amp;IF(AND(C247&lt;&gt;"",C247=D247),"Même médecin sur les deux lignes. ","")&amp;IF(AND(C247&lt;&gt;"",COUNTIFS(AbsMed,C247,AbsDu,"&lt;="&amp;A247,AbsAu,"&gt;="&amp;A247)&gt;0),C247&amp;" absent. ","")&amp;IF(AND(D247&lt;&gt;"",COUNTIFS(AbsMed,D247,AbsDu,"&lt;="&amp;A247,AbsAu,"&gt;="&amp;A247)&gt;0),D247&amp;" absent. ","")</f>
        <v>0</v>
      </c>
    </row>
    <row r="248" spans="1:5">
      <c r="A248" s="10">
        <f>Debut+246</f>
        <v>2027-09-04 00:00:00</v>
      </c>
      <c r="B248" s="6">
        <f>IF(COUNTIF(Feries,A248)&gt;0,"Férié",IF(WEEKDAY(A248,2)=6,"Samedi",IF(WEEKDAY(A248,2)=7,"Dimanche","Semaine")))</f>
        <v>0</v>
      </c>
      <c r="C248" s="8"/>
      <c r="D248" s="8"/>
      <c r="E248" s="11">
        <f>IF(AND(C248&lt;&gt;"",C248=C247),"Ligne 1 : même médecin deux jours de suite. ","")&amp;IF(AND(D248&lt;&gt;"",D248=D247),"Ligne 2 : même médecin deux jours de suite. ","")&amp;IF(AND(C248&lt;&gt;"",C248=D248),"Même médecin sur les deux lignes. ","")&amp;IF(AND(C248&lt;&gt;"",COUNTIFS(AbsMed,C248,AbsDu,"&lt;="&amp;A248,AbsAu,"&gt;="&amp;A248)&gt;0),C248&amp;" absent. ","")&amp;IF(AND(D248&lt;&gt;"",COUNTIFS(AbsMed,D248,AbsDu,"&lt;="&amp;A248,AbsAu,"&gt;="&amp;A248)&gt;0),D248&amp;" absent. ","")</f>
        <v>0</v>
      </c>
    </row>
    <row r="249" spans="1:5">
      <c r="A249" s="10">
        <f>Debut+247</f>
        <v>2027-09-05 00:00:00</v>
      </c>
      <c r="B249" s="6">
        <f>IF(COUNTIF(Feries,A249)&gt;0,"Férié",IF(WEEKDAY(A249,2)=6,"Samedi",IF(WEEKDAY(A249,2)=7,"Dimanche","Semaine")))</f>
        <v>0</v>
      </c>
      <c r="C249" s="8"/>
      <c r="D249" s="8"/>
      <c r="E249" s="11">
        <f>IF(AND(C249&lt;&gt;"",C249=C248),"Ligne 1 : même médecin deux jours de suite. ","")&amp;IF(AND(D249&lt;&gt;"",D249=D248),"Ligne 2 : même médecin deux jours de suite. ","")&amp;IF(AND(C249&lt;&gt;"",C249=D249),"Même médecin sur les deux lignes. ","")&amp;IF(AND(C249&lt;&gt;"",COUNTIFS(AbsMed,C249,AbsDu,"&lt;="&amp;A249,AbsAu,"&gt;="&amp;A249)&gt;0),C249&amp;" absent. ","")&amp;IF(AND(D249&lt;&gt;"",COUNTIFS(AbsMed,D249,AbsDu,"&lt;="&amp;A249,AbsAu,"&gt;="&amp;A249)&gt;0),D249&amp;" absent. ","")</f>
        <v>0</v>
      </c>
    </row>
    <row r="250" spans="1:5">
      <c r="A250" s="10">
        <f>Debut+248</f>
        <v>2027-09-06 00:00:00</v>
      </c>
      <c r="B250" s="6">
        <f>IF(COUNTIF(Feries,A250)&gt;0,"Férié",IF(WEEKDAY(A250,2)=6,"Samedi",IF(WEEKDAY(A250,2)=7,"Dimanche","Semaine")))</f>
        <v>0</v>
      </c>
      <c r="C250" s="8"/>
      <c r="D250" s="8"/>
      <c r="E250" s="11">
        <f>IF(AND(C250&lt;&gt;"",C250=C249),"Ligne 1 : même médecin deux jours de suite. ","")&amp;IF(AND(D250&lt;&gt;"",D250=D249),"Ligne 2 : même médecin deux jours de suite. ","")&amp;IF(AND(C250&lt;&gt;"",C250=D250),"Même médecin sur les deux lignes. ","")&amp;IF(AND(C250&lt;&gt;"",COUNTIFS(AbsMed,C250,AbsDu,"&lt;="&amp;A250,AbsAu,"&gt;="&amp;A250)&gt;0),C250&amp;" absent. ","")&amp;IF(AND(D250&lt;&gt;"",COUNTIFS(AbsMed,D250,AbsDu,"&lt;="&amp;A250,AbsAu,"&gt;="&amp;A250)&gt;0),D250&amp;" absent. ","")</f>
        <v>0</v>
      </c>
    </row>
    <row r="251" spans="1:5">
      <c r="A251" s="10">
        <f>Debut+249</f>
        <v>2027-09-07 00:00:00</v>
      </c>
      <c r="B251" s="6">
        <f>IF(COUNTIF(Feries,A251)&gt;0,"Férié",IF(WEEKDAY(A251,2)=6,"Samedi",IF(WEEKDAY(A251,2)=7,"Dimanche","Semaine")))</f>
        <v>0</v>
      </c>
      <c r="C251" s="8"/>
      <c r="D251" s="8"/>
      <c r="E251" s="11">
        <f>IF(AND(C251&lt;&gt;"",C251=C250),"Ligne 1 : même médecin deux jours de suite. ","")&amp;IF(AND(D251&lt;&gt;"",D251=D250),"Ligne 2 : même médecin deux jours de suite. ","")&amp;IF(AND(C251&lt;&gt;"",C251=D251),"Même médecin sur les deux lignes. ","")&amp;IF(AND(C251&lt;&gt;"",COUNTIFS(AbsMed,C251,AbsDu,"&lt;="&amp;A251,AbsAu,"&gt;="&amp;A251)&gt;0),C251&amp;" absent. ","")&amp;IF(AND(D251&lt;&gt;"",COUNTIFS(AbsMed,D251,AbsDu,"&lt;="&amp;A251,AbsAu,"&gt;="&amp;A251)&gt;0),D251&amp;" absent. ","")</f>
        <v>0</v>
      </c>
    </row>
    <row r="252" spans="1:5">
      <c r="A252" s="10">
        <f>Debut+250</f>
        <v>2027-09-08 00:00:00</v>
      </c>
      <c r="B252" s="6">
        <f>IF(COUNTIF(Feries,A252)&gt;0,"Férié",IF(WEEKDAY(A252,2)=6,"Samedi",IF(WEEKDAY(A252,2)=7,"Dimanche","Semaine")))</f>
        <v>0</v>
      </c>
      <c r="C252" s="8"/>
      <c r="D252" s="8"/>
      <c r="E252" s="11">
        <f>IF(AND(C252&lt;&gt;"",C252=C251),"Ligne 1 : même médecin deux jours de suite. ","")&amp;IF(AND(D252&lt;&gt;"",D252=D251),"Ligne 2 : même médecin deux jours de suite. ","")&amp;IF(AND(C252&lt;&gt;"",C252=D252),"Même médecin sur les deux lignes. ","")&amp;IF(AND(C252&lt;&gt;"",COUNTIFS(AbsMed,C252,AbsDu,"&lt;="&amp;A252,AbsAu,"&gt;="&amp;A252)&gt;0),C252&amp;" absent. ","")&amp;IF(AND(D252&lt;&gt;"",COUNTIFS(AbsMed,D252,AbsDu,"&lt;="&amp;A252,AbsAu,"&gt;="&amp;A252)&gt;0),D252&amp;" absent. ","")</f>
        <v>0</v>
      </c>
    </row>
    <row r="253" spans="1:5">
      <c r="A253" s="10">
        <f>Debut+251</f>
        <v>2027-09-09 00:00:00</v>
      </c>
      <c r="B253" s="6">
        <f>IF(COUNTIF(Feries,A253)&gt;0,"Férié",IF(WEEKDAY(A253,2)=6,"Samedi",IF(WEEKDAY(A253,2)=7,"Dimanche","Semaine")))</f>
        <v>0</v>
      </c>
      <c r="C253" s="8"/>
      <c r="D253" s="8"/>
      <c r="E253" s="11">
        <f>IF(AND(C253&lt;&gt;"",C253=C252),"Ligne 1 : même médecin deux jours de suite. ","")&amp;IF(AND(D253&lt;&gt;"",D253=D252),"Ligne 2 : même médecin deux jours de suite. ","")&amp;IF(AND(C253&lt;&gt;"",C253=D253),"Même médecin sur les deux lignes. ","")&amp;IF(AND(C253&lt;&gt;"",COUNTIFS(AbsMed,C253,AbsDu,"&lt;="&amp;A253,AbsAu,"&gt;="&amp;A253)&gt;0),C253&amp;" absent. ","")&amp;IF(AND(D253&lt;&gt;"",COUNTIFS(AbsMed,D253,AbsDu,"&lt;="&amp;A253,AbsAu,"&gt;="&amp;A253)&gt;0),D253&amp;" absent. ","")</f>
        <v>0</v>
      </c>
    </row>
    <row r="254" spans="1:5">
      <c r="A254" s="10">
        <f>Debut+252</f>
        <v>2027-09-10 00:00:00</v>
      </c>
      <c r="B254" s="6">
        <f>IF(COUNTIF(Feries,A254)&gt;0,"Férié",IF(WEEKDAY(A254,2)=6,"Samedi",IF(WEEKDAY(A254,2)=7,"Dimanche","Semaine")))</f>
        <v>0</v>
      </c>
      <c r="C254" s="8"/>
      <c r="D254" s="8"/>
      <c r="E254" s="11">
        <f>IF(AND(C254&lt;&gt;"",C254=C253),"Ligne 1 : même médecin deux jours de suite. ","")&amp;IF(AND(D254&lt;&gt;"",D254=D253),"Ligne 2 : même médecin deux jours de suite. ","")&amp;IF(AND(C254&lt;&gt;"",C254=D254),"Même médecin sur les deux lignes. ","")&amp;IF(AND(C254&lt;&gt;"",COUNTIFS(AbsMed,C254,AbsDu,"&lt;="&amp;A254,AbsAu,"&gt;="&amp;A254)&gt;0),C254&amp;" absent. ","")&amp;IF(AND(D254&lt;&gt;"",COUNTIFS(AbsMed,D254,AbsDu,"&lt;="&amp;A254,AbsAu,"&gt;="&amp;A254)&gt;0),D254&amp;" absent. ","")</f>
        <v>0</v>
      </c>
    </row>
    <row r="255" spans="1:5">
      <c r="A255" s="10">
        <f>Debut+253</f>
        <v>2027-09-11 00:00:00</v>
      </c>
      <c r="B255" s="6">
        <f>IF(COUNTIF(Feries,A255)&gt;0,"Férié",IF(WEEKDAY(A255,2)=6,"Samedi",IF(WEEKDAY(A255,2)=7,"Dimanche","Semaine")))</f>
        <v>0</v>
      </c>
      <c r="C255" s="8"/>
      <c r="D255" s="8"/>
      <c r="E255" s="11">
        <f>IF(AND(C255&lt;&gt;"",C255=C254),"Ligne 1 : même médecin deux jours de suite. ","")&amp;IF(AND(D255&lt;&gt;"",D255=D254),"Ligne 2 : même médecin deux jours de suite. ","")&amp;IF(AND(C255&lt;&gt;"",C255=D255),"Même médecin sur les deux lignes. ","")&amp;IF(AND(C255&lt;&gt;"",COUNTIFS(AbsMed,C255,AbsDu,"&lt;="&amp;A255,AbsAu,"&gt;="&amp;A255)&gt;0),C255&amp;" absent. ","")&amp;IF(AND(D255&lt;&gt;"",COUNTIFS(AbsMed,D255,AbsDu,"&lt;="&amp;A255,AbsAu,"&gt;="&amp;A255)&gt;0),D255&amp;" absent. ","")</f>
        <v>0</v>
      </c>
    </row>
    <row r="256" spans="1:5">
      <c r="A256" s="10">
        <f>Debut+254</f>
        <v>2027-09-12 00:00:00</v>
      </c>
      <c r="B256" s="6">
        <f>IF(COUNTIF(Feries,A256)&gt;0,"Férié",IF(WEEKDAY(A256,2)=6,"Samedi",IF(WEEKDAY(A256,2)=7,"Dimanche","Semaine")))</f>
        <v>0</v>
      </c>
      <c r="C256" s="8"/>
      <c r="D256" s="8"/>
      <c r="E256" s="11">
        <f>IF(AND(C256&lt;&gt;"",C256=C255),"Ligne 1 : même médecin deux jours de suite. ","")&amp;IF(AND(D256&lt;&gt;"",D256=D255),"Ligne 2 : même médecin deux jours de suite. ","")&amp;IF(AND(C256&lt;&gt;"",C256=D256),"Même médecin sur les deux lignes. ","")&amp;IF(AND(C256&lt;&gt;"",COUNTIFS(AbsMed,C256,AbsDu,"&lt;="&amp;A256,AbsAu,"&gt;="&amp;A256)&gt;0),C256&amp;" absent. ","")&amp;IF(AND(D256&lt;&gt;"",COUNTIFS(AbsMed,D256,AbsDu,"&lt;="&amp;A256,AbsAu,"&gt;="&amp;A256)&gt;0),D256&amp;" absent. ","")</f>
        <v>0</v>
      </c>
    </row>
    <row r="257" spans="1:5">
      <c r="A257" s="10">
        <f>Debut+255</f>
        <v>2027-09-13 00:00:00</v>
      </c>
      <c r="B257" s="6">
        <f>IF(COUNTIF(Feries,A257)&gt;0,"Férié",IF(WEEKDAY(A257,2)=6,"Samedi",IF(WEEKDAY(A257,2)=7,"Dimanche","Semaine")))</f>
        <v>0</v>
      </c>
      <c r="C257" s="8"/>
      <c r="D257" s="8"/>
      <c r="E257" s="11">
        <f>IF(AND(C257&lt;&gt;"",C257=C256),"Ligne 1 : même médecin deux jours de suite. ","")&amp;IF(AND(D257&lt;&gt;"",D257=D256),"Ligne 2 : même médecin deux jours de suite. ","")&amp;IF(AND(C257&lt;&gt;"",C257=D257),"Même médecin sur les deux lignes. ","")&amp;IF(AND(C257&lt;&gt;"",COUNTIFS(AbsMed,C257,AbsDu,"&lt;="&amp;A257,AbsAu,"&gt;="&amp;A257)&gt;0),C257&amp;" absent. ","")&amp;IF(AND(D257&lt;&gt;"",COUNTIFS(AbsMed,D257,AbsDu,"&lt;="&amp;A257,AbsAu,"&gt;="&amp;A257)&gt;0),D257&amp;" absent. ","")</f>
        <v>0</v>
      </c>
    </row>
    <row r="258" spans="1:5">
      <c r="A258" s="10">
        <f>Debut+256</f>
        <v>2027-09-14 00:00:00</v>
      </c>
      <c r="B258" s="6">
        <f>IF(COUNTIF(Feries,A258)&gt;0,"Férié",IF(WEEKDAY(A258,2)=6,"Samedi",IF(WEEKDAY(A258,2)=7,"Dimanche","Semaine")))</f>
        <v>0</v>
      </c>
      <c r="C258" s="8"/>
      <c r="D258" s="8"/>
      <c r="E258" s="11">
        <f>IF(AND(C258&lt;&gt;"",C258=C257),"Ligne 1 : même médecin deux jours de suite. ","")&amp;IF(AND(D258&lt;&gt;"",D258=D257),"Ligne 2 : même médecin deux jours de suite. ","")&amp;IF(AND(C258&lt;&gt;"",C258=D258),"Même médecin sur les deux lignes. ","")&amp;IF(AND(C258&lt;&gt;"",COUNTIFS(AbsMed,C258,AbsDu,"&lt;="&amp;A258,AbsAu,"&gt;="&amp;A258)&gt;0),C258&amp;" absent. ","")&amp;IF(AND(D258&lt;&gt;"",COUNTIFS(AbsMed,D258,AbsDu,"&lt;="&amp;A258,AbsAu,"&gt;="&amp;A258)&gt;0),D258&amp;" absent. ","")</f>
        <v>0</v>
      </c>
    </row>
    <row r="259" spans="1:5">
      <c r="A259" s="10">
        <f>Debut+257</f>
        <v>2027-09-15 00:00:00</v>
      </c>
      <c r="B259" s="6">
        <f>IF(COUNTIF(Feries,A259)&gt;0,"Férié",IF(WEEKDAY(A259,2)=6,"Samedi",IF(WEEKDAY(A259,2)=7,"Dimanche","Semaine")))</f>
        <v>0</v>
      </c>
      <c r="C259" s="8"/>
      <c r="D259" s="8"/>
      <c r="E259" s="11">
        <f>IF(AND(C259&lt;&gt;"",C259=C258),"Ligne 1 : même médecin deux jours de suite. ","")&amp;IF(AND(D259&lt;&gt;"",D259=D258),"Ligne 2 : même médecin deux jours de suite. ","")&amp;IF(AND(C259&lt;&gt;"",C259=D259),"Même médecin sur les deux lignes. ","")&amp;IF(AND(C259&lt;&gt;"",COUNTIFS(AbsMed,C259,AbsDu,"&lt;="&amp;A259,AbsAu,"&gt;="&amp;A259)&gt;0),C259&amp;" absent. ","")&amp;IF(AND(D259&lt;&gt;"",COUNTIFS(AbsMed,D259,AbsDu,"&lt;="&amp;A259,AbsAu,"&gt;="&amp;A259)&gt;0),D259&amp;" absent. ","")</f>
        <v>0</v>
      </c>
    </row>
    <row r="260" spans="1:5">
      <c r="A260" s="10">
        <f>Debut+258</f>
        <v>2027-09-16 00:00:00</v>
      </c>
      <c r="B260" s="6">
        <f>IF(COUNTIF(Feries,A260)&gt;0,"Férié",IF(WEEKDAY(A260,2)=6,"Samedi",IF(WEEKDAY(A260,2)=7,"Dimanche","Semaine")))</f>
        <v>0</v>
      </c>
      <c r="C260" s="8"/>
      <c r="D260" s="8"/>
      <c r="E260" s="11">
        <f>IF(AND(C260&lt;&gt;"",C260=C259),"Ligne 1 : même médecin deux jours de suite. ","")&amp;IF(AND(D260&lt;&gt;"",D260=D259),"Ligne 2 : même médecin deux jours de suite. ","")&amp;IF(AND(C260&lt;&gt;"",C260=D260),"Même médecin sur les deux lignes. ","")&amp;IF(AND(C260&lt;&gt;"",COUNTIFS(AbsMed,C260,AbsDu,"&lt;="&amp;A260,AbsAu,"&gt;="&amp;A260)&gt;0),C260&amp;" absent. ","")&amp;IF(AND(D260&lt;&gt;"",COUNTIFS(AbsMed,D260,AbsDu,"&lt;="&amp;A260,AbsAu,"&gt;="&amp;A260)&gt;0),D260&amp;" absent. ","")</f>
        <v>0</v>
      </c>
    </row>
    <row r="261" spans="1:5">
      <c r="A261" s="10">
        <f>Debut+259</f>
        <v>2027-09-17 00:00:00</v>
      </c>
      <c r="B261" s="6">
        <f>IF(COUNTIF(Feries,A261)&gt;0,"Férié",IF(WEEKDAY(A261,2)=6,"Samedi",IF(WEEKDAY(A261,2)=7,"Dimanche","Semaine")))</f>
        <v>0</v>
      </c>
      <c r="C261" s="8"/>
      <c r="D261" s="8"/>
      <c r="E261" s="11">
        <f>IF(AND(C261&lt;&gt;"",C261=C260),"Ligne 1 : même médecin deux jours de suite. ","")&amp;IF(AND(D261&lt;&gt;"",D261=D260),"Ligne 2 : même médecin deux jours de suite. ","")&amp;IF(AND(C261&lt;&gt;"",C261=D261),"Même médecin sur les deux lignes. ","")&amp;IF(AND(C261&lt;&gt;"",COUNTIFS(AbsMed,C261,AbsDu,"&lt;="&amp;A261,AbsAu,"&gt;="&amp;A261)&gt;0),C261&amp;" absent. ","")&amp;IF(AND(D261&lt;&gt;"",COUNTIFS(AbsMed,D261,AbsDu,"&lt;="&amp;A261,AbsAu,"&gt;="&amp;A261)&gt;0),D261&amp;" absent. ","")</f>
        <v>0</v>
      </c>
    </row>
    <row r="262" spans="1:5">
      <c r="A262" s="10">
        <f>Debut+260</f>
        <v>2027-09-18 00:00:00</v>
      </c>
      <c r="B262" s="6">
        <f>IF(COUNTIF(Feries,A262)&gt;0,"Férié",IF(WEEKDAY(A262,2)=6,"Samedi",IF(WEEKDAY(A262,2)=7,"Dimanche","Semaine")))</f>
        <v>0</v>
      </c>
      <c r="C262" s="8"/>
      <c r="D262" s="8"/>
      <c r="E262" s="11">
        <f>IF(AND(C262&lt;&gt;"",C262=C261),"Ligne 1 : même médecin deux jours de suite. ","")&amp;IF(AND(D262&lt;&gt;"",D262=D261),"Ligne 2 : même médecin deux jours de suite. ","")&amp;IF(AND(C262&lt;&gt;"",C262=D262),"Même médecin sur les deux lignes. ","")&amp;IF(AND(C262&lt;&gt;"",COUNTIFS(AbsMed,C262,AbsDu,"&lt;="&amp;A262,AbsAu,"&gt;="&amp;A262)&gt;0),C262&amp;" absent. ","")&amp;IF(AND(D262&lt;&gt;"",COUNTIFS(AbsMed,D262,AbsDu,"&lt;="&amp;A262,AbsAu,"&gt;="&amp;A262)&gt;0),D262&amp;" absent. ","")</f>
        <v>0</v>
      </c>
    </row>
    <row r="263" spans="1:5">
      <c r="A263" s="10">
        <f>Debut+261</f>
        <v>2027-09-19 00:00:00</v>
      </c>
      <c r="B263" s="6">
        <f>IF(COUNTIF(Feries,A263)&gt;0,"Férié",IF(WEEKDAY(A263,2)=6,"Samedi",IF(WEEKDAY(A263,2)=7,"Dimanche","Semaine")))</f>
        <v>0</v>
      </c>
      <c r="C263" s="8"/>
      <c r="D263" s="8"/>
      <c r="E263" s="11">
        <f>IF(AND(C263&lt;&gt;"",C263=C262),"Ligne 1 : même médecin deux jours de suite. ","")&amp;IF(AND(D263&lt;&gt;"",D263=D262),"Ligne 2 : même médecin deux jours de suite. ","")&amp;IF(AND(C263&lt;&gt;"",C263=D263),"Même médecin sur les deux lignes. ","")&amp;IF(AND(C263&lt;&gt;"",COUNTIFS(AbsMed,C263,AbsDu,"&lt;="&amp;A263,AbsAu,"&gt;="&amp;A263)&gt;0),C263&amp;" absent. ","")&amp;IF(AND(D263&lt;&gt;"",COUNTIFS(AbsMed,D263,AbsDu,"&lt;="&amp;A263,AbsAu,"&gt;="&amp;A263)&gt;0),D263&amp;" absent. ","")</f>
        <v>0</v>
      </c>
    </row>
    <row r="264" spans="1:5">
      <c r="A264" s="10">
        <f>Debut+262</f>
        <v>2027-09-20 00:00:00</v>
      </c>
      <c r="B264" s="6">
        <f>IF(COUNTIF(Feries,A264)&gt;0,"Férié",IF(WEEKDAY(A264,2)=6,"Samedi",IF(WEEKDAY(A264,2)=7,"Dimanche","Semaine")))</f>
        <v>0</v>
      </c>
      <c r="C264" s="8"/>
      <c r="D264" s="8"/>
      <c r="E264" s="11">
        <f>IF(AND(C264&lt;&gt;"",C264=C263),"Ligne 1 : même médecin deux jours de suite. ","")&amp;IF(AND(D264&lt;&gt;"",D264=D263),"Ligne 2 : même médecin deux jours de suite. ","")&amp;IF(AND(C264&lt;&gt;"",C264=D264),"Même médecin sur les deux lignes. ","")&amp;IF(AND(C264&lt;&gt;"",COUNTIFS(AbsMed,C264,AbsDu,"&lt;="&amp;A264,AbsAu,"&gt;="&amp;A264)&gt;0),C264&amp;" absent. ","")&amp;IF(AND(D264&lt;&gt;"",COUNTIFS(AbsMed,D264,AbsDu,"&lt;="&amp;A264,AbsAu,"&gt;="&amp;A264)&gt;0),D264&amp;" absent. ","")</f>
        <v>0</v>
      </c>
    </row>
    <row r="265" spans="1:5">
      <c r="A265" s="10">
        <f>Debut+263</f>
        <v>2027-09-21 00:00:00</v>
      </c>
      <c r="B265" s="6">
        <f>IF(COUNTIF(Feries,A265)&gt;0,"Férié",IF(WEEKDAY(A265,2)=6,"Samedi",IF(WEEKDAY(A265,2)=7,"Dimanche","Semaine")))</f>
        <v>0</v>
      </c>
      <c r="C265" s="8"/>
      <c r="D265" s="8"/>
      <c r="E265" s="11">
        <f>IF(AND(C265&lt;&gt;"",C265=C264),"Ligne 1 : même médecin deux jours de suite. ","")&amp;IF(AND(D265&lt;&gt;"",D265=D264),"Ligne 2 : même médecin deux jours de suite. ","")&amp;IF(AND(C265&lt;&gt;"",C265=D265),"Même médecin sur les deux lignes. ","")&amp;IF(AND(C265&lt;&gt;"",COUNTIFS(AbsMed,C265,AbsDu,"&lt;="&amp;A265,AbsAu,"&gt;="&amp;A265)&gt;0),C265&amp;" absent. ","")&amp;IF(AND(D265&lt;&gt;"",COUNTIFS(AbsMed,D265,AbsDu,"&lt;="&amp;A265,AbsAu,"&gt;="&amp;A265)&gt;0),D265&amp;" absent. ","")</f>
        <v>0</v>
      </c>
    </row>
    <row r="266" spans="1:5">
      <c r="A266" s="10">
        <f>Debut+264</f>
        <v>2027-09-22 00:00:00</v>
      </c>
      <c r="B266" s="6">
        <f>IF(COUNTIF(Feries,A266)&gt;0,"Férié",IF(WEEKDAY(A266,2)=6,"Samedi",IF(WEEKDAY(A266,2)=7,"Dimanche","Semaine")))</f>
        <v>0</v>
      </c>
      <c r="C266" s="8"/>
      <c r="D266" s="8"/>
      <c r="E266" s="11">
        <f>IF(AND(C266&lt;&gt;"",C266=C265),"Ligne 1 : même médecin deux jours de suite. ","")&amp;IF(AND(D266&lt;&gt;"",D266=D265),"Ligne 2 : même médecin deux jours de suite. ","")&amp;IF(AND(C266&lt;&gt;"",C266=D266),"Même médecin sur les deux lignes. ","")&amp;IF(AND(C266&lt;&gt;"",COUNTIFS(AbsMed,C266,AbsDu,"&lt;="&amp;A266,AbsAu,"&gt;="&amp;A266)&gt;0),C266&amp;" absent. ","")&amp;IF(AND(D266&lt;&gt;"",COUNTIFS(AbsMed,D266,AbsDu,"&lt;="&amp;A266,AbsAu,"&gt;="&amp;A266)&gt;0),D266&amp;" absent. ","")</f>
        <v>0</v>
      </c>
    </row>
    <row r="267" spans="1:5">
      <c r="A267" s="10">
        <f>Debut+265</f>
        <v>2027-09-23 00:00:00</v>
      </c>
      <c r="B267" s="6">
        <f>IF(COUNTIF(Feries,A267)&gt;0,"Férié",IF(WEEKDAY(A267,2)=6,"Samedi",IF(WEEKDAY(A267,2)=7,"Dimanche","Semaine")))</f>
        <v>0</v>
      </c>
      <c r="C267" s="8"/>
      <c r="D267" s="8"/>
      <c r="E267" s="11">
        <f>IF(AND(C267&lt;&gt;"",C267=C266),"Ligne 1 : même médecin deux jours de suite. ","")&amp;IF(AND(D267&lt;&gt;"",D267=D266),"Ligne 2 : même médecin deux jours de suite. ","")&amp;IF(AND(C267&lt;&gt;"",C267=D267),"Même médecin sur les deux lignes. ","")&amp;IF(AND(C267&lt;&gt;"",COUNTIFS(AbsMed,C267,AbsDu,"&lt;="&amp;A267,AbsAu,"&gt;="&amp;A267)&gt;0),C267&amp;" absent. ","")&amp;IF(AND(D267&lt;&gt;"",COUNTIFS(AbsMed,D267,AbsDu,"&lt;="&amp;A267,AbsAu,"&gt;="&amp;A267)&gt;0),D267&amp;" absent. ","")</f>
        <v>0</v>
      </c>
    </row>
    <row r="268" spans="1:5">
      <c r="A268" s="10">
        <f>Debut+266</f>
        <v>2027-09-24 00:00:00</v>
      </c>
      <c r="B268" s="6">
        <f>IF(COUNTIF(Feries,A268)&gt;0,"Férié",IF(WEEKDAY(A268,2)=6,"Samedi",IF(WEEKDAY(A268,2)=7,"Dimanche","Semaine")))</f>
        <v>0</v>
      </c>
      <c r="C268" s="8"/>
      <c r="D268" s="8"/>
      <c r="E268" s="11">
        <f>IF(AND(C268&lt;&gt;"",C268=C267),"Ligne 1 : même médecin deux jours de suite. ","")&amp;IF(AND(D268&lt;&gt;"",D268=D267),"Ligne 2 : même médecin deux jours de suite. ","")&amp;IF(AND(C268&lt;&gt;"",C268=D268),"Même médecin sur les deux lignes. ","")&amp;IF(AND(C268&lt;&gt;"",COUNTIFS(AbsMed,C268,AbsDu,"&lt;="&amp;A268,AbsAu,"&gt;="&amp;A268)&gt;0),C268&amp;" absent. ","")&amp;IF(AND(D268&lt;&gt;"",COUNTIFS(AbsMed,D268,AbsDu,"&lt;="&amp;A268,AbsAu,"&gt;="&amp;A268)&gt;0),D268&amp;" absent. ","")</f>
        <v>0</v>
      </c>
    </row>
    <row r="269" spans="1:5">
      <c r="A269" s="10">
        <f>Debut+267</f>
        <v>2027-09-25 00:00:00</v>
      </c>
      <c r="B269" s="6">
        <f>IF(COUNTIF(Feries,A269)&gt;0,"Férié",IF(WEEKDAY(A269,2)=6,"Samedi",IF(WEEKDAY(A269,2)=7,"Dimanche","Semaine")))</f>
        <v>0</v>
      </c>
      <c r="C269" s="8"/>
      <c r="D269" s="8"/>
      <c r="E269" s="11">
        <f>IF(AND(C269&lt;&gt;"",C269=C268),"Ligne 1 : même médecin deux jours de suite. ","")&amp;IF(AND(D269&lt;&gt;"",D269=D268),"Ligne 2 : même médecin deux jours de suite. ","")&amp;IF(AND(C269&lt;&gt;"",C269=D269),"Même médecin sur les deux lignes. ","")&amp;IF(AND(C269&lt;&gt;"",COUNTIFS(AbsMed,C269,AbsDu,"&lt;="&amp;A269,AbsAu,"&gt;="&amp;A269)&gt;0),C269&amp;" absent. ","")&amp;IF(AND(D269&lt;&gt;"",COUNTIFS(AbsMed,D269,AbsDu,"&lt;="&amp;A269,AbsAu,"&gt;="&amp;A269)&gt;0),D269&amp;" absent. ","")</f>
        <v>0</v>
      </c>
    </row>
    <row r="270" spans="1:5">
      <c r="A270" s="10">
        <f>Debut+268</f>
        <v>2027-09-26 00:00:00</v>
      </c>
      <c r="B270" s="6">
        <f>IF(COUNTIF(Feries,A270)&gt;0,"Férié",IF(WEEKDAY(A270,2)=6,"Samedi",IF(WEEKDAY(A270,2)=7,"Dimanche","Semaine")))</f>
        <v>0</v>
      </c>
      <c r="C270" s="8"/>
      <c r="D270" s="8"/>
      <c r="E270" s="11">
        <f>IF(AND(C270&lt;&gt;"",C270=C269),"Ligne 1 : même médecin deux jours de suite. ","")&amp;IF(AND(D270&lt;&gt;"",D270=D269),"Ligne 2 : même médecin deux jours de suite. ","")&amp;IF(AND(C270&lt;&gt;"",C270=D270),"Même médecin sur les deux lignes. ","")&amp;IF(AND(C270&lt;&gt;"",COUNTIFS(AbsMed,C270,AbsDu,"&lt;="&amp;A270,AbsAu,"&gt;="&amp;A270)&gt;0),C270&amp;" absent. ","")&amp;IF(AND(D270&lt;&gt;"",COUNTIFS(AbsMed,D270,AbsDu,"&lt;="&amp;A270,AbsAu,"&gt;="&amp;A270)&gt;0),D270&amp;" absent. ","")</f>
        <v>0</v>
      </c>
    </row>
    <row r="271" spans="1:5">
      <c r="A271" s="10">
        <f>Debut+269</f>
        <v>2027-09-27 00:00:00</v>
      </c>
      <c r="B271" s="6">
        <f>IF(COUNTIF(Feries,A271)&gt;0,"Férié",IF(WEEKDAY(A271,2)=6,"Samedi",IF(WEEKDAY(A271,2)=7,"Dimanche","Semaine")))</f>
        <v>0</v>
      </c>
      <c r="C271" s="8"/>
      <c r="D271" s="8"/>
      <c r="E271" s="11">
        <f>IF(AND(C271&lt;&gt;"",C271=C270),"Ligne 1 : même médecin deux jours de suite. ","")&amp;IF(AND(D271&lt;&gt;"",D271=D270),"Ligne 2 : même médecin deux jours de suite. ","")&amp;IF(AND(C271&lt;&gt;"",C271=D271),"Même médecin sur les deux lignes. ","")&amp;IF(AND(C271&lt;&gt;"",COUNTIFS(AbsMed,C271,AbsDu,"&lt;="&amp;A271,AbsAu,"&gt;="&amp;A271)&gt;0),C271&amp;" absent. ","")&amp;IF(AND(D271&lt;&gt;"",COUNTIFS(AbsMed,D271,AbsDu,"&lt;="&amp;A271,AbsAu,"&gt;="&amp;A271)&gt;0),D271&amp;" absent. ","")</f>
        <v>0</v>
      </c>
    </row>
    <row r="272" spans="1:5">
      <c r="A272" s="10">
        <f>Debut+270</f>
        <v>2027-09-28 00:00:00</v>
      </c>
      <c r="B272" s="6">
        <f>IF(COUNTIF(Feries,A272)&gt;0,"Férié",IF(WEEKDAY(A272,2)=6,"Samedi",IF(WEEKDAY(A272,2)=7,"Dimanche","Semaine")))</f>
        <v>0</v>
      </c>
      <c r="C272" s="8"/>
      <c r="D272" s="8"/>
      <c r="E272" s="11">
        <f>IF(AND(C272&lt;&gt;"",C272=C271),"Ligne 1 : même médecin deux jours de suite. ","")&amp;IF(AND(D272&lt;&gt;"",D272=D271),"Ligne 2 : même médecin deux jours de suite. ","")&amp;IF(AND(C272&lt;&gt;"",C272=D272),"Même médecin sur les deux lignes. ","")&amp;IF(AND(C272&lt;&gt;"",COUNTIFS(AbsMed,C272,AbsDu,"&lt;="&amp;A272,AbsAu,"&gt;="&amp;A272)&gt;0),C272&amp;" absent. ","")&amp;IF(AND(D272&lt;&gt;"",COUNTIFS(AbsMed,D272,AbsDu,"&lt;="&amp;A272,AbsAu,"&gt;="&amp;A272)&gt;0),D272&amp;" absent. ","")</f>
        <v>0</v>
      </c>
    </row>
    <row r="273" spans="1:5">
      <c r="A273" s="10">
        <f>Debut+271</f>
        <v>2027-09-29 00:00:00</v>
      </c>
      <c r="B273" s="6">
        <f>IF(COUNTIF(Feries,A273)&gt;0,"Férié",IF(WEEKDAY(A273,2)=6,"Samedi",IF(WEEKDAY(A273,2)=7,"Dimanche","Semaine")))</f>
        <v>0</v>
      </c>
      <c r="C273" s="8"/>
      <c r="D273" s="8"/>
      <c r="E273" s="11">
        <f>IF(AND(C273&lt;&gt;"",C273=C272),"Ligne 1 : même médecin deux jours de suite. ","")&amp;IF(AND(D273&lt;&gt;"",D273=D272),"Ligne 2 : même médecin deux jours de suite. ","")&amp;IF(AND(C273&lt;&gt;"",C273=D273),"Même médecin sur les deux lignes. ","")&amp;IF(AND(C273&lt;&gt;"",COUNTIFS(AbsMed,C273,AbsDu,"&lt;="&amp;A273,AbsAu,"&gt;="&amp;A273)&gt;0),C273&amp;" absent. ","")&amp;IF(AND(D273&lt;&gt;"",COUNTIFS(AbsMed,D273,AbsDu,"&lt;="&amp;A273,AbsAu,"&gt;="&amp;A273)&gt;0),D273&amp;" absent. ","")</f>
        <v>0</v>
      </c>
    </row>
    <row r="274" spans="1:5">
      <c r="A274" s="10">
        <f>Debut+272</f>
        <v>2027-09-30 00:00:00</v>
      </c>
      <c r="B274" s="6">
        <f>IF(COUNTIF(Feries,A274)&gt;0,"Férié",IF(WEEKDAY(A274,2)=6,"Samedi",IF(WEEKDAY(A274,2)=7,"Dimanche","Semaine")))</f>
        <v>0</v>
      </c>
      <c r="C274" s="8"/>
      <c r="D274" s="8"/>
      <c r="E274" s="11">
        <f>IF(AND(C274&lt;&gt;"",C274=C273),"Ligne 1 : même médecin deux jours de suite. ","")&amp;IF(AND(D274&lt;&gt;"",D274=D273),"Ligne 2 : même médecin deux jours de suite. ","")&amp;IF(AND(C274&lt;&gt;"",C274=D274),"Même médecin sur les deux lignes. ","")&amp;IF(AND(C274&lt;&gt;"",COUNTIFS(AbsMed,C274,AbsDu,"&lt;="&amp;A274,AbsAu,"&gt;="&amp;A274)&gt;0),C274&amp;" absent. ","")&amp;IF(AND(D274&lt;&gt;"",COUNTIFS(AbsMed,D274,AbsDu,"&lt;="&amp;A274,AbsAu,"&gt;="&amp;A274)&gt;0),D274&amp;" absent. ","")</f>
        <v>0</v>
      </c>
    </row>
    <row r="275" spans="1:5">
      <c r="A275" s="10">
        <f>Debut+273</f>
        <v>2027-10-01 00:00:00</v>
      </c>
      <c r="B275" s="6">
        <f>IF(COUNTIF(Feries,A275)&gt;0,"Férié",IF(WEEKDAY(A275,2)=6,"Samedi",IF(WEEKDAY(A275,2)=7,"Dimanche","Semaine")))</f>
        <v>0</v>
      </c>
      <c r="C275" s="8"/>
      <c r="D275" s="8"/>
      <c r="E275" s="11">
        <f>IF(AND(C275&lt;&gt;"",C275=C274),"Ligne 1 : même médecin deux jours de suite. ","")&amp;IF(AND(D275&lt;&gt;"",D275=D274),"Ligne 2 : même médecin deux jours de suite. ","")&amp;IF(AND(C275&lt;&gt;"",C275=D275),"Même médecin sur les deux lignes. ","")&amp;IF(AND(C275&lt;&gt;"",COUNTIFS(AbsMed,C275,AbsDu,"&lt;="&amp;A275,AbsAu,"&gt;="&amp;A275)&gt;0),C275&amp;" absent. ","")&amp;IF(AND(D275&lt;&gt;"",COUNTIFS(AbsMed,D275,AbsDu,"&lt;="&amp;A275,AbsAu,"&gt;="&amp;A275)&gt;0),D275&amp;" absent. ","")</f>
        <v>0</v>
      </c>
    </row>
    <row r="276" spans="1:5">
      <c r="A276" s="10">
        <f>Debut+274</f>
        <v>2027-10-02 00:00:00</v>
      </c>
      <c r="B276" s="6">
        <f>IF(COUNTIF(Feries,A276)&gt;0,"Férié",IF(WEEKDAY(A276,2)=6,"Samedi",IF(WEEKDAY(A276,2)=7,"Dimanche","Semaine")))</f>
        <v>0</v>
      </c>
      <c r="C276" s="8"/>
      <c r="D276" s="8"/>
      <c r="E276" s="11">
        <f>IF(AND(C276&lt;&gt;"",C276=C275),"Ligne 1 : même médecin deux jours de suite. ","")&amp;IF(AND(D276&lt;&gt;"",D276=D275),"Ligne 2 : même médecin deux jours de suite. ","")&amp;IF(AND(C276&lt;&gt;"",C276=D276),"Même médecin sur les deux lignes. ","")&amp;IF(AND(C276&lt;&gt;"",COUNTIFS(AbsMed,C276,AbsDu,"&lt;="&amp;A276,AbsAu,"&gt;="&amp;A276)&gt;0),C276&amp;" absent. ","")&amp;IF(AND(D276&lt;&gt;"",COUNTIFS(AbsMed,D276,AbsDu,"&lt;="&amp;A276,AbsAu,"&gt;="&amp;A276)&gt;0),D276&amp;" absent. ","")</f>
        <v>0</v>
      </c>
    </row>
    <row r="277" spans="1:5">
      <c r="A277" s="10">
        <f>Debut+275</f>
        <v>2027-10-03 00:00:00</v>
      </c>
      <c r="B277" s="6">
        <f>IF(COUNTIF(Feries,A277)&gt;0,"Férié",IF(WEEKDAY(A277,2)=6,"Samedi",IF(WEEKDAY(A277,2)=7,"Dimanche","Semaine")))</f>
        <v>0</v>
      </c>
      <c r="C277" s="8"/>
      <c r="D277" s="8"/>
      <c r="E277" s="11">
        <f>IF(AND(C277&lt;&gt;"",C277=C276),"Ligne 1 : même médecin deux jours de suite. ","")&amp;IF(AND(D277&lt;&gt;"",D277=D276),"Ligne 2 : même médecin deux jours de suite. ","")&amp;IF(AND(C277&lt;&gt;"",C277=D277),"Même médecin sur les deux lignes. ","")&amp;IF(AND(C277&lt;&gt;"",COUNTIFS(AbsMed,C277,AbsDu,"&lt;="&amp;A277,AbsAu,"&gt;="&amp;A277)&gt;0),C277&amp;" absent. ","")&amp;IF(AND(D277&lt;&gt;"",COUNTIFS(AbsMed,D277,AbsDu,"&lt;="&amp;A277,AbsAu,"&gt;="&amp;A277)&gt;0),D277&amp;" absent. ","")</f>
        <v>0</v>
      </c>
    </row>
    <row r="278" spans="1:5">
      <c r="A278" s="10">
        <f>Debut+276</f>
        <v>2027-10-04 00:00:00</v>
      </c>
      <c r="B278" s="6">
        <f>IF(COUNTIF(Feries,A278)&gt;0,"Férié",IF(WEEKDAY(A278,2)=6,"Samedi",IF(WEEKDAY(A278,2)=7,"Dimanche","Semaine")))</f>
        <v>0</v>
      </c>
      <c r="C278" s="8"/>
      <c r="D278" s="8"/>
      <c r="E278" s="11">
        <f>IF(AND(C278&lt;&gt;"",C278=C277),"Ligne 1 : même médecin deux jours de suite. ","")&amp;IF(AND(D278&lt;&gt;"",D278=D277),"Ligne 2 : même médecin deux jours de suite. ","")&amp;IF(AND(C278&lt;&gt;"",C278=D278),"Même médecin sur les deux lignes. ","")&amp;IF(AND(C278&lt;&gt;"",COUNTIFS(AbsMed,C278,AbsDu,"&lt;="&amp;A278,AbsAu,"&gt;="&amp;A278)&gt;0),C278&amp;" absent. ","")&amp;IF(AND(D278&lt;&gt;"",COUNTIFS(AbsMed,D278,AbsDu,"&lt;="&amp;A278,AbsAu,"&gt;="&amp;A278)&gt;0),D278&amp;" absent. ","")</f>
        <v>0</v>
      </c>
    </row>
    <row r="279" spans="1:5">
      <c r="A279" s="10">
        <f>Debut+277</f>
        <v>2027-10-05 00:00:00</v>
      </c>
      <c r="B279" s="6">
        <f>IF(COUNTIF(Feries,A279)&gt;0,"Férié",IF(WEEKDAY(A279,2)=6,"Samedi",IF(WEEKDAY(A279,2)=7,"Dimanche","Semaine")))</f>
        <v>0</v>
      </c>
      <c r="C279" s="8"/>
      <c r="D279" s="8"/>
      <c r="E279" s="11">
        <f>IF(AND(C279&lt;&gt;"",C279=C278),"Ligne 1 : même médecin deux jours de suite. ","")&amp;IF(AND(D279&lt;&gt;"",D279=D278),"Ligne 2 : même médecin deux jours de suite. ","")&amp;IF(AND(C279&lt;&gt;"",C279=D279),"Même médecin sur les deux lignes. ","")&amp;IF(AND(C279&lt;&gt;"",COUNTIFS(AbsMed,C279,AbsDu,"&lt;="&amp;A279,AbsAu,"&gt;="&amp;A279)&gt;0),C279&amp;" absent. ","")&amp;IF(AND(D279&lt;&gt;"",COUNTIFS(AbsMed,D279,AbsDu,"&lt;="&amp;A279,AbsAu,"&gt;="&amp;A279)&gt;0),D279&amp;" absent. ","")</f>
        <v>0</v>
      </c>
    </row>
    <row r="280" spans="1:5">
      <c r="A280" s="10">
        <f>Debut+278</f>
        <v>2027-10-06 00:00:00</v>
      </c>
      <c r="B280" s="6">
        <f>IF(COUNTIF(Feries,A280)&gt;0,"Férié",IF(WEEKDAY(A280,2)=6,"Samedi",IF(WEEKDAY(A280,2)=7,"Dimanche","Semaine")))</f>
        <v>0</v>
      </c>
      <c r="C280" s="8"/>
      <c r="D280" s="8"/>
      <c r="E280" s="11">
        <f>IF(AND(C280&lt;&gt;"",C280=C279),"Ligne 1 : même médecin deux jours de suite. ","")&amp;IF(AND(D280&lt;&gt;"",D280=D279),"Ligne 2 : même médecin deux jours de suite. ","")&amp;IF(AND(C280&lt;&gt;"",C280=D280),"Même médecin sur les deux lignes. ","")&amp;IF(AND(C280&lt;&gt;"",COUNTIFS(AbsMed,C280,AbsDu,"&lt;="&amp;A280,AbsAu,"&gt;="&amp;A280)&gt;0),C280&amp;" absent. ","")&amp;IF(AND(D280&lt;&gt;"",COUNTIFS(AbsMed,D280,AbsDu,"&lt;="&amp;A280,AbsAu,"&gt;="&amp;A280)&gt;0),D280&amp;" absent. ","")</f>
        <v>0</v>
      </c>
    </row>
    <row r="281" spans="1:5">
      <c r="A281" s="10">
        <f>Debut+279</f>
        <v>2027-10-07 00:00:00</v>
      </c>
      <c r="B281" s="6">
        <f>IF(COUNTIF(Feries,A281)&gt;0,"Férié",IF(WEEKDAY(A281,2)=6,"Samedi",IF(WEEKDAY(A281,2)=7,"Dimanche","Semaine")))</f>
        <v>0</v>
      </c>
      <c r="C281" s="8"/>
      <c r="D281" s="8"/>
      <c r="E281" s="11">
        <f>IF(AND(C281&lt;&gt;"",C281=C280),"Ligne 1 : même médecin deux jours de suite. ","")&amp;IF(AND(D281&lt;&gt;"",D281=D280),"Ligne 2 : même médecin deux jours de suite. ","")&amp;IF(AND(C281&lt;&gt;"",C281=D281),"Même médecin sur les deux lignes. ","")&amp;IF(AND(C281&lt;&gt;"",COUNTIFS(AbsMed,C281,AbsDu,"&lt;="&amp;A281,AbsAu,"&gt;="&amp;A281)&gt;0),C281&amp;" absent. ","")&amp;IF(AND(D281&lt;&gt;"",COUNTIFS(AbsMed,D281,AbsDu,"&lt;="&amp;A281,AbsAu,"&gt;="&amp;A281)&gt;0),D281&amp;" absent. ","")</f>
        <v>0</v>
      </c>
    </row>
    <row r="282" spans="1:5">
      <c r="A282" s="10">
        <f>Debut+280</f>
        <v>2027-10-08 00:00:00</v>
      </c>
      <c r="B282" s="6">
        <f>IF(COUNTIF(Feries,A282)&gt;0,"Férié",IF(WEEKDAY(A282,2)=6,"Samedi",IF(WEEKDAY(A282,2)=7,"Dimanche","Semaine")))</f>
        <v>0</v>
      </c>
      <c r="C282" s="8"/>
      <c r="D282" s="8"/>
      <c r="E282" s="11">
        <f>IF(AND(C282&lt;&gt;"",C282=C281),"Ligne 1 : même médecin deux jours de suite. ","")&amp;IF(AND(D282&lt;&gt;"",D282=D281),"Ligne 2 : même médecin deux jours de suite. ","")&amp;IF(AND(C282&lt;&gt;"",C282=D282),"Même médecin sur les deux lignes. ","")&amp;IF(AND(C282&lt;&gt;"",COUNTIFS(AbsMed,C282,AbsDu,"&lt;="&amp;A282,AbsAu,"&gt;="&amp;A282)&gt;0),C282&amp;" absent. ","")&amp;IF(AND(D282&lt;&gt;"",COUNTIFS(AbsMed,D282,AbsDu,"&lt;="&amp;A282,AbsAu,"&gt;="&amp;A282)&gt;0),D282&amp;" absent. ","")</f>
        <v>0</v>
      </c>
    </row>
    <row r="283" spans="1:5">
      <c r="A283" s="10">
        <f>Debut+281</f>
        <v>2027-10-09 00:00:00</v>
      </c>
      <c r="B283" s="6">
        <f>IF(COUNTIF(Feries,A283)&gt;0,"Férié",IF(WEEKDAY(A283,2)=6,"Samedi",IF(WEEKDAY(A283,2)=7,"Dimanche","Semaine")))</f>
        <v>0</v>
      </c>
      <c r="C283" s="8"/>
      <c r="D283" s="8"/>
      <c r="E283" s="11">
        <f>IF(AND(C283&lt;&gt;"",C283=C282),"Ligne 1 : même médecin deux jours de suite. ","")&amp;IF(AND(D283&lt;&gt;"",D283=D282),"Ligne 2 : même médecin deux jours de suite. ","")&amp;IF(AND(C283&lt;&gt;"",C283=D283),"Même médecin sur les deux lignes. ","")&amp;IF(AND(C283&lt;&gt;"",COUNTIFS(AbsMed,C283,AbsDu,"&lt;="&amp;A283,AbsAu,"&gt;="&amp;A283)&gt;0),C283&amp;" absent. ","")&amp;IF(AND(D283&lt;&gt;"",COUNTIFS(AbsMed,D283,AbsDu,"&lt;="&amp;A283,AbsAu,"&gt;="&amp;A283)&gt;0),D283&amp;" absent. ","")</f>
        <v>0</v>
      </c>
    </row>
    <row r="284" spans="1:5">
      <c r="A284" s="10">
        <f>Debut+282</f>
        <v>2027-10-10 00:00:00</v>
      </c>
      <c r="B284" s="6">
        <f>IF(COUNTIF(Feries,A284)&gt;0,"Férié",IF(WEEKDAY(A284,2)=6,"Samedi",IF(WEEKDAY(A284,2)=7,"Dimanche","Semaine")))</f>
        <v>0</v>
      </c>
      <c r="C284" s="8"/>
      <c r="D284" s="8"/>
      <c r="E284" s="11">
        <f>IF(AND(C284&lt;&gt;"",C284=C283),"Ligne 1 : même médecin deux jours de suite. ","")&amp;IF(AND(D284&lt;&gt;"",D284=D283),"Ligne 2 : même médecin deux jours de suite. ","")&amp;IF(AND(C284&lt;&gt;"",C284=D284),"Même médecin sur les deux lignes. ","")&amp;IF(AND(C284&lt;&gt;"",COUNTIFS(AbsMed,C284,AbsDu,"&lt;="&amp;A284,AbsAu,"&gt;="&amp;A284)&gt;0),C284&amp;" absent. ","")&amp;IF(AND(D284&lt;&gt;"",COUNTIFS(AbsMed,D284,AbsDu,"&lt;="&amp;A284,AbsAu,"&gt;="&amp;A284)&gt;0),D284&amp;" absent. ","")</f>
        <v>0</v>
      </c>
    </row>
    <row r="285" spans="1:5">
      <c r="A285" s="10">
        <f>Debut+283</f>
        <v>2027-10-11 00:00:00</v>
      </c>
      <c r="B285" s="6">
        <f>IF(COUNTIF(Feries,A285)&gt;0,"Férié",IF(WEEKDAY(A285,2)=6,"Samedi",IF(WEEKDAY(A285,2)=7,"Dimanche","Semaine")))</f>
        <v>0</v>
      </c>
      <c r="C285" s="8"/>
      <c r="D285" s="8"/>
      <c r="E285" s="11">
        <f>IF(AND(C285&lt;&gt;"",C285=C284),"Ligne 1 : même médecin deux jours de suite. ","")&amp;IF(AND(D285&lt;&gt;"",D285=D284),"Ligne 2 : même médecin deux jours de suite. ","")&amp;IF(AND(C285&lt;&gt;"",C285=D285),"Même médecin sur les deux lignes. ","")&amp;IF(AND(C285&lt;&gt;"",COUNTIFS(AbsMed,C285,AbsDu,"&lt;="&amp;A285,AbsAu,"&gt;="&amp;A285)&gt;0),C285&amp;" absent. ","")&amp;IF(AND(D285&lt;&gt;"",COUNTIFS(AbsMed,D285,AbsDu,"&lt;="&amp;A285,AbsAu,"&gt;="&amp;A285)&gt;0),D285&amp;" absent. ","")</f>
        <v>0</v>
      </c>
    </row>
    <row r="286" spans="1:5">
      <c r="A286" s="10">
        <f>Debut+284</f>
        <v>2027-10-12 00:00:00</v>
      </c>
      <c r="B286" s="6">
        <f>IF(COUNTIF(Feries,A286)&gt;0,"Férié",IF(WEEKDAY(A286,2)=6,"Samedi",IF(WEEKDAY(A286,2)=7,"Dimanche","Semaine")))</f>
        <v>0</v>
      </c>
      <c r="C286" s="8"/>
      <c r="D286" s="8"/>
      <c r="E286" s="11">
        <f>IF(AND(C286&lt;&gt;"",C286=C285),"Ligne 1 : même médecin deux jours de suite. ","")&amp;IF(AND(D286&lt;&gt;"",D286=D285),"Ligne 2 : même médecin deux jours de suite. ","")&amp;IF(AND(C286&lt;&gt;"",C286=D286),"Même médecin sur les deux lignes. ","")&amp;IF(AND(C286&lt;&gt;"",COUNTIFS(AbsMed,C286,AbsDu,"&lt;="&amp;A286,AbsAu,"&gt;="&amp;A286)&gt;0),C286&amp;" absent. ","")&amp;IF(AND(D286&lt;&gt;"",COUNTIFS(AbsMed,D286,AbsDu,"&lt;="&amp;A286,AbsAu,"&gt;="&amp;A286)&gt;0),D286&amp;" absent. ","")</f>
        <v>0</v>
      </c>
    </row>
    <row r="287" spans="1:5">
      <c r="A287" s="10">
        <f>Debut+285</f>
        <v>2027-10-13 00:00:00</v>
      </c>
      <c r="B287" s="6">
        <f>IF(COUNTIF(Feries,A287)&gt;0,"Férié",IF(WEEKDAY(A287,2)=6,"Samedi",IF(WEEKDAY(A287,2)=7,"Dimanche","Semaine")))</f>
        <v>0</v>
      </c>
      <c r="C287" s="8"/>
      <c r="D287" s="8"/>
      <c r="E287" s="11">
        <f>IF(AND(C287&lt;&gt;"",C287=C286),"Ligne 1 : même médecin deux jours de suite. ","")&amp;IF(AND(D287&lt;&gt;"",D287=D286),"Ligne 2 : même médecin deux jours de suite. ","")&amp;IF(AND(C287&lt;&gt;"",C287=D287),"Même médecin sur les deux lignes. ","")&amp;IF(AND(C287&lt;&gt;"",COUNTIFS(AbsMed,C287,AbsDu,"&lt;="&amp;A287,AbsAu,"&gt;="&amp;A287)&gt;0),C287&amp;" absent. ","")&amp;IF(AND(D287&lt;&gt;"",COUNTIFS(AbsMed,D287,AbsDu,"&lt;="&amp;A287,AbsAu,"&gt;="&amp;A287)&gt;0),D287&amp;" absent. ","")</f>
        <v>0</v>
      </c>
    </row>
    <row r="288" spans="1:5">
      <c r="A288" s="10">
        <f>Debut+286</f>
        <v>2027-10-14 00:00:00</v>
      </c>
      <c r="B288" s="6">
        <f>IF(COUNTIF(Feries,A288)&gt;0,"Férié",IF(WEEKDAY(A288,2)=6,"Samedi",IF(WEEKDAY(A288,2)=7,"Dimanche","Semaine")))</f>
        <v>0</v>
      </c>
      <c r="C288" s="8"/>
      <c r="D288" s="8"/>
      <c r="E288" s="11">
        <f>IF(AND(C288&lt;&gt;"",C288=C287),"Ligne 1 : même médecin deux jours de suite. ","")&amp;IF(AND(D288&lt;&gt;"",D288=D287),"Ligne 2 : même médecin deux jours de suite. ","")&amp;IF(AND(C288&lt;&gt;"",C288=D288),"Même médecin sur les deux lignes. ","")&amp;IF(AND(C288&lt;&gt;"",COUNTIFS(AbsMed,C288,AbsDu,"&lt;="&amp;A288,AbsAu,"&gt;="&amp;A288)&gt;0),C288&amp;" absent. ","")&amp;IF(AND(D288&lt;&gt;"",COUNTIFS(AbsMed,D288,AbsDu,"&lt;="&amp;A288,AbsAu,"&gt;="&amp;A288)&gt;0),D288&amp;" absent. ","")</f>
        <v>0</v>
      </c>
    </row>
    <row r="289" spans="1:5">
      <c r="A289" s="10">
        <f>Debut+287</f>
        <v>2027-10-15 00:00:00</v>
      </c>
      <c r="B289" s="6">
        <f>IF(COUNTIF(Feries,A289)&gt;0,"Férié",IF(WEEKDAY(A289,2)=6,"Samedi",IF(WEEKDAY(A289,2)=7,"Dimanche","Semaine")))</f>
        <v>0</v>
      </c>
      <c r="C289" s="8"/>
      <c r="D289" s="8"/>
      <c r="E289" s="11">
        <f>IF(AND(C289&lt;&gt;"",C289=C288),"Ligne 1 : même médecin deux jours de suite. ","")&amp;IF(AND(D289&lt;&gt;"",D289=D288),"Ligne 2 : même médecin deux jours de suite. ","")&amp;IF(AND(C289&lt;&gt;"",C289=D289),"Même médecin sur les deux lignes. ","")&amp;IF(AND(C289&lt;&gt;"",COUNTIFS(AbsMed,C289,AbsDu,"&lt;="&amp;A289,AbsAu,"&gt;="&amp;A289)&gt;0),C289&amp;" absent. ","")&amp;IF(AND(D289&lt;&gt;"",COUNTIFS(AbsMed,D289,AbsDu,"&lt;="&amp;A289,AbsAu,"&gt;="&amp;A289)&gt;0),D289&amp;" absent. ","")</f>
        <v>0</v>
      </c>
    </row>
    <row r="290" spans="1:5">
      <c r="A290" s="10">
        <f>Debut+288</f>
        <v>2027-10-16 00:00:00</v>
      </c>
      <c r="B290" s="6">
        <f>IF(COUNTIF(Feries,A290)&gt;0,"Férié",IF(WEEKDAY(A290,2)=6,"Samedi",IF(WEEKDAY(A290,2)=7,"Dimanche","Semaine")))</f>
        <v>0</v>
      </c>
      <c r="C290" s="8"/>
      <c r="D290" s="8"/>
      <c r="E290" s="11">
        <f>IF(AND(C290&lt;&gt;"",C290=C289),"Ligne 1 : même médecin deux jours de suite. ","")&amp;IF(AND(D290&lt;&gt;"",D290=D289),"Ligne 2 : même médecin deux jours de suite. ","")&amp;IF(AND(C290&lt;&gt;"",C290=D290),"Même médecin sur les deux lignes. ","")&amp;IF(AND(C290&lt;&gt;"",COUNTIFS(AbsMed,C290,AbsDu,"&lt;="&amp;A290,AbsAu,"&gt;="&amp;A290)&gt;0),C290&amp;" absent. ","")&amp;IF(AND(D290&lt;&gt;"",COUNTIFS(AbsMed,D290,AbsDu,"&lt;="&amp;A290,AbsAu,"&gt;="&amp;A290)&gt;0),D290&amp;" absent. ","")</f>
        <v>0</v>
      </c>
    </row>
    <row r="291" spans="1:5">
      <c r="A291" s="10">
        <f>Debut+289</f>
        <v>2027-10-17 00:00:00</v>
      </c>
      <c r="B291" s="6">
        <f>IF(COUNTIF(Feries,A291)&gt;0,"Férié",IF(WEEKDAY(A291,2)=6,"Samedi",IF(WEEKDAY(A291,2)=7,"Dimanche","Semaine")))</f>
        <v>0</v>
      </c>
      <c r="C291" s="8"/>
      <c r="D291" s="8"/>
      <c r="E291" s="11">
        <f>IF(AND(C291&lt;&gt;"",C291=C290),"Ligne 1 : même médecin deux jours de suite. ","")&amp;IF(AND(D291&lt;&gt;"",D291=D290),"Ligne 2 : même médecin deux jours de suite. ","")&amp;IF(AND(C291&lt;&gt;"",C291=D291),"Même médecin sur les deux lignes. ","")&amp;IF(AND(C291&lt;&gt;"",COUNTIFS(AbsMed,C291,AbsDu,"&lt;="&amp;A291,AbsAu,"&gt;="&amp;A291)&gt;0),C291&amp;" absent. ","")&amp;IF(AND(D291&lt;&gt;"",COUNTIFS(AbsMed,D291,AbsDu,"&lt;="&amp;A291,AbsAu,"&gt;="&amp;A291)&gt;0),D291&amp;" absent. ","")</f>
        <v>0</v>
      </c>
    </row>
    <row r="292" spans="1:5">
      <c r="A292" s="10">
        <f>Debut+290</f>
        <v>2027-10-18 00:00:00</v>
      </c>
      <c r="B292" s="6">
        <f>IF(COUNTIF(Feries,A292)&gt;0,"Férié",IF(WEEKDAY(A292,2)=6,"Samedi",IF(WEEKDAY(A292,2)=7,"Dimanche","Semaine")))</f>
        <v>0</v>
      </c>
      <c r="C292" s="8"/>
      <c r="D292" s="8"/>
      <c r="E292" s="11">
        <f>IF(AND(C292&lt;&gt;"",C292=C291),"Ligne 1 : même médecin deux jours de suite. ","")&amp;IF(AND(D292&lt;&gt;"",D292=D291),"Ligne 2 : même médecin deux jours de suite. ","")&amp;IF(AND(C292&lt;&gt;"",C292=D292),"Même médecin sur les deux lignes. ","")&amp;IF(AND(C292&lt;&gt;"",COUNTIFS(AbsMed,C292,AbsDu,"&lt;="&amp;A292,AbsAu,"&gt;="&amp;A292)&gt;0),C292&amp;" absent. ","")&amp;IF(AND(D292&lt;&gt;"",COUNTIFS(AbsMed,D292,AbsDu,"&lt;="&amp;A292,AbsAu,"&gt;="&amp;A292)&gt;0),D292&amp;" absent. ","")</f>
        <v>0</v>
      </c>
    </row>
    <row r="293" spans="1:5">
      <c r="A293" s="10">
        <f>Debut+291</f>
        <v>2027-10-19 00:00:00</v>
      </c>
      <c r="B293" s="6">
        <f>IF(COUNTIF(Feries,A293)&gt;0,"Férié",IF(WEEKDAY(A293,2)=6,"Samedi",IF(WEEKDAY(A293,2)=7,"Dimanche","Semaine")))</f>
        <v>0</v>
      </c>
      <c r="C293" s="8"/>
      <c r="D293" s="8"/>
      <c r="E293" s="11">
        <f>IF(AND(C293&lt;&gt;"",C293=C292),"Ligne 1 : même médecin deux jours de suite. ","")&amp;IF(AND(D293&lt;&gt;"",D293=D292),"Ligne 2 : même médecin deux jours de suite. ","")&amp;IF(AND(C293&lt;&gt;"",C293=D293),"Même médecin sur les deux lignes. ","")&amp;IF(AND(C293&lt;&gt;"",COUNTIFS(AbsMed,C293,AbsDu,"&lt;="&amp;A293,AbsAu,"&gt;="&amp;A293)&gt;0),C293&amp;" absent. ","")&amp;IF(AND(D293&lt;&gt;"",COUNTIFS(AbsMed,D293,AbsDu,"&lt;="&amp;A293,AbsAu,"&gt;="&amp;A293)&gt;0),D293&amp;" absent. ","")</f>
        <v>0</v>
      </c>
    </row>
    <row r="294" spans="1:5">
      <c r="A294" s="10">
        <f>Debut+292</f>
        <v>2027-10-20 00:00:00</v>
      </c>
      <c r="B294" s="6">
        <f>IF(COUNTIF(Feries,A294)&gt;0,"Férié",IF(WEEKDAY(A294,2)=6,"Samedi",IF(WEEKDAY(A294,2)=7,"Dimanche","Semaine")))</f>
        <v>0</v>
      </c>
      <c r="C294" s="8"/>
      <c r="D294" s="8"/>
      <c r="E294" s="11">
        <f>IF(AND(C294&lt;&gt;"",C294=C293),"Ligne 1 : même médecin deux jours de suite. ","")&amp;IF(AND(D294&lt;&gt;"",D294=D293),"Ligne 2 : même médecin deux jours de suite. ","")&amp;IF(AND(C294&lt;&gt;"",C294=D294),"Même médecin sur les deux lignes. ","")&amp;IF(AND(C294&lt;&gt;"",COUNTIFS(AbsMed,C294,AbsDu,"&lt;="&amp;A294,AbsAu,"&gt;="&amp;A294)&gt;0),C294&amp;" absent. ","")&amp;IF(AND(D294&lt;&gt;"",COUNTIFS(AbsMed,D294,AbsDu,"&lt;="&amp;A294,AbsAu,"&gt;="&amp;A294)&gt;0),D294&amp;" absent. ","")</f>
        <v>0</v>
      </c>
    </row>
    <row r="295" spans="1:5">
      <c r="A295" s="10">
        <f>Debut+293</f>
        <v>2027-10-21 00:00:00</v>
      </c>
      <c r="B295" s="6">
        <f>IF(COUNTIF(Feries,A295)&gt;0,"Férié",IF(WEEKDAY(A295,2)=6,"Samedi",IF(WEEKDAY(A295,2)=7,"Dimanche","Semaine")))</f>
        <v>0</v>
      </c>
      <c r="C295" s="8"/>
      <c r="D295" s="8"/>
      <c r="E295" s="11">
        <f>IF(AND(C295&lt;&gt;"",C295=C294),"Ligne 1 : même médecin deux jours de suite. ","")&amp;IF(AND(D295&lt;&gt;"",D295=D294),"Ligne 2 : même médecin deux jours de suite. ","")&amp;IF(AND(C295&lt;&gt;"",C295=D295),"Même médecin sur les deux lignes. ","")&amp;IF(AND(C295&lt;&gt;"",COUNTIFS(AbsMed,C295,AbsDu,"&lt;="&amp;A295,AbsAu,"&gt;="&amp;A295)&gt;0),C295&amp;" absent. ","")&amp;IF(AND(D295&lt;&gt;"",COUNTIFS(AbsMed,D295,AbsDu,"&lt;="&amp;A295,AbsAu,"&gt;="&amp;A295)&gt;0),D295&amp;" absent. ","")</f>
        <v>0</v>
      </c>
    </row>
    <row r="296" spans="1:5">
      <c r="A296" s="10">
        <f>Debut+294</f>
        <v>2027-10-22 00:00:00</v>
      </c>
      <c r="B296" s="6">
        <f>IF(COUNTIF(Feries,A296)&gt;0,"Férié",IF(WEEKDAY(A296,2)=6,"Samedi",IF(WEEKDAY(A296,2)=7,"Dimanche","Semaine")))</f>
        <v>0</v>
      </c>
      <c r="C296" s="8"/>
      <c r="D296" s="8"/>
      <c r="E296" s="11">
        <f>IF(AND(C296&lt;&gt;"",C296=C295),"Ligne 1 : même médecin deux jours de suite. ","")&amp;IF(AND(D296&lt;&gt;"",D296=D295),"Ligne 2 : même médecin deux jours de suite. ","")&amp;IF(AND(C296&lt;&gt;"",C296=D296),"Même médecin sur les deux lignes. ","")&amp;IF(AND(C296&lt;&gt;"",COUNTIFS(AbsMed,C296,AbsDu,"&lt;="&amp;A296,AbsAu,"&gt;="&amp;A296)&gt;0),C296&amp;" absent. ","")&amp;IF(AND(D296&lt;&gt;"",COUNTIFS(AbsMed,D296,AbsDu,"&lt;="&amp;A296,AbsAu,"&gt;="&amp;A296)&gt;0),D296&amp;" absent. ","")</f>
        <v>0</v>
      </c>
    </row>
    <row r="297" spans="1:5">
      <c r="A297" s="10">
        <f>Debut+295</f>
        <v>2027-10-23 00:00:00</v>
      </c>
      <c r="B297" s="6">
        <f>IF(COUNTIF(Feries,A297)&gt;0,"Férié",IF(WEEKDAY(A297,2)=6,"Samedi",IF(WEEKDAY(A297,2)=7,"Dimanche","Semaine")))</f>
        <v>0</v>
      </c>
      <c r="C297" s="8"/>
      <c r="D297" s="8"/>
      <c r="E297" s="11">
        <f>IF(AND(C297&lt;&gt;"",C297=C296),"Ligne 1 : même médecin deux jours de suite. ","")&amp;IF(AND(D297&lt;&gt;"",D297=D296),"Ligne 2 : même médecin deux jours de suite. ","")&amp;IF(AND(C297&lt;&gt;"",C297=D297),"Même médecin sur les deux lignes. ","")&amp;IF(AND(C297&lt;&gt;"",COUNTIFS(AbsMed,C297,AbsDu,"&lt;="&amp;A297,AbsAu,"&gt;="&amp;A297)&gt;0),C297&amp;" absent. ","")&amp;IF(AND(D297&lt;&gt;"",COUNTIFS(AbsMed,D297,AbsDu,"&lt;="&amp;A297,AbsAu,"&gt;="&amp;A297)&gt;0),D297&amp;" absent. ","")</f>
        <v>0</v>
      </c>
    </row>
    <row r="298" spans="1:5">
      <c r="A298" s="10">
        <f>Debut+296</f>
        <v>2027-10-24 00:00:00</v>
      </c>
      <c r="B298" s="6">
        <f>IF(COUNTIF(Feries,A298)&gt;0,"Férié",IF(WEEKDAY(A298,2)=6,"Samedi",IF(WEEKDAY(A298,2)=7,"Dimanche","Semaine")))</f>
        <v>0</v>
      </c>
      <c r="C298" s="8"/>
      <c r="D298" s="8"/>
      <c r="E298" s="11">
        <f>IF(AND(C298&lt;&gt;"",C298=C297),"Ligne 1 : même médecin deux jours de suite. ","")&amp;IF(AND(D298&lt;&gt;"",D298=D297),"Ligne 2 : même médecin deux jours de suite. ","")&amp;IF(AND(C298&lt;&gt;"",C298=D298),"Même médecin sur les deux lignes. ","")&amp;IF(AND(C298&lt;&gt;"",COUNTIFS(AbsMed,C298,AbsDu,"&lt;="&amp;A298,AbsAu,"&gt;="&amp;A298)&gt;0),C298&amp;" absent. ","")&amp;IF(AND(D298&lt;&gt;"",COUNTIFS(AbsMed,D298,AbsDu,"&lt;="&amp;A298,AbsAu,"&gt;="&amp;A298)&gt;0),D298&amp;" absent. ","")</f>
        <v>0</v>
      </c>
    </row>
    <row r="299" spans="1:5">
      <c r="A299" s="10">
        <f>Debut+297</f>
        <v>2027-10-25 00:00:00</v>
      </c>
      <c r="B299" s="6">
        <f>IF(COUNTIF(Feries,A299)&gt;0,"Férié",IF(WEEKDAY(A299,2)=6,"Samedi",IF(WEEKDAY(A299,2)=7,"Dimanche","Semaine")))</f>
        <v>0</v>
      </c>
      <c r="C299" s="8"/>
      <c r="D299" s="8"/>
      <c r="E299" s="11">
        <f>IF(AND(C299&lt;&gt;"",C299=C298),"Ligne 1 : même médecin deux jours de suite. ","")&amp;IF(AND(D299&lt;&gt;"",D299=D298),"Ligne 2 : même médecin deux jours de suite. ","")&amp;IF(AND(C299&lt;&gt;"",C299=D299),"Même médecin sur les deux lignes. ","")&amp;IF(AND(C299&lt;&gt;"",COUNTIFS(AbsMed,C299,AbsDu,"&lt;="&amp;A299,AbsAu,"&gt;="&amp;A299)&gt;0),C299&amp;" absent. ","")&amp;IF(AND(D299&lt;&gt;"",COUNTIFS(AbsMed,D299,AbsDu,"&lt;="&amp;A299,AbsAu,"&gt;="&amp;A299)&gt;0),D299&amp;" absent. ","")</f>
        <v>0</v>
      </c>
    </row>
    <row r="300" spans="1:5">
      <c r="A300" s="10">
        <f>Debut+298</f>
        <v>2027-10-26 00:00:00</v>
      </c>
      <c r="B300" s="6">
        <f>IF(COUNTIF(Feries,A300)&gt;0,"Férié",IF(WEEKDAY(A300,2)=6,"Samedi",IF(WEEKDAY(A300,2)=7,"Dimanche","Semaine")))</f>
        <v>0</v>
      </c>
      <c r="C300" s="8"/>
      <c r="D300" s="8"/>
      <c r="E300" s="11">
        <f>IF(AND(C300&lt;&gt;"",C300=C299),"Ligne 1 : même médecin deux jours de suite. ","")&amp;IF(AND(D300&lt;&gt;"",D300=D299),"Ligne 2 : même médecin deux jours de suite. ","")&amp;IF(AND(C300&lt;&gt;"",C300=D300),"Même médecin sur les deux lignes. ","")&amp;IF(AND(C300&lt;&gt;"",COUNTIFS(AbsMed,C300,AbsDu,"&lt;="&amp;A300,AbsAu,"&gt;="&amp;A300)&gt;0),C300&amp;" absent. ","")&amp;IF(AND(D300&lt;&gt;"",COUNTIFS(AbsMed,D300,AbsDu,"&lt;="&amp;A300,AbsAu,"&gt;="&amp;A300)&gt;0),D300&amp;" absent. ","")</f>
        <v>0</v>
      </c>
    </row>
    <row r="301" spans="1:5">
      <c r="A301" s="10">
        <f>Debut+299</f>
        <v>2027-10-27 00:00:00</v>
      </c>
      <c r="B301" s="6">
        <f>IF(COUNTIF(Feries,A301)&gt;0,"Férié",IF(WEEKDAY(A301,2)=6,"Samedi",IF(WEEKDAY(A301,2)=7,"Dimanche","Semaine")))</f>
        <v>0</v>
      </c>
      <c r="C301" s="8"/>
      <c r="D301" s="8"/>
      <c r="E301" s="11">
        <f>IF(AND(C301&lt;&gt;"",C301=C300),"Ligne 1 : même médecin deux jours de suite. ","")&amp;IF(AND(D301&lt;&gt;"",D301=D300),"Ligne 2 : même médecin deux jours de suite. ","")&amp;IF(AND(C301&lt;&gt;"",C301=D301),"Même médecin sur les deux lignes. ","")&amp;IF(AND(C301&lt;&gt;"",COUNTIFS(AbsMed,C301,AbsDu,"&lt;="&amp;A301,AbsAu,"&gt;="&amp;A301)&gt;0),C301&amp;" absent. ","")&amp;IF(AND(D301&lt;&gt;"",COUNTIFS(AbsMed,D301,AbsDu,"&lt;="&amp;A301,AbsAu,"&gt;="&amp;A301)&gt;0),D301&amp;" absent. ","")</f>
        <v>0</v>
      </c>
    </row>
    <row r="302" spans="1:5">
      <c r="A302" s="10">
        <f>Debut+300</f>
        <v>2027-10-28 00:00:00</v>
      </c>
      <c r="B302" s="6">
        <f>IF(COUNTIF(Feries,A302)&gt;0,"Férié",IF(WEEKDAY(A302,2)=6,"Samedi",IF(WEEKDAY(A302,2)=7,"Dimanche","Semaine")))</f>
        <v>0</v>
      </c>
      <c r="C302" s="8"/>
      <c r="D302" s="8"/>
      <c r="E302" s="11">
        <f>IF(AND(C302&lt;&gt;"",C302=C301),"Ligne 1 : même médecin deux jours de suite. ","")&amp;IF(AND(D302&lt;&gt;"",D302=D301),"Ligne 2 : même médecin deux jours de suite. ","")&amp;IF(AND(C302&lt;&gt;"",C302=D302),"Même médecin sur les deux lignes. ","")&amp;IF(AND(C302&lt;&gt;"",COUNTIFS(AbsMed,C302,AbsDu,"&lt;="&amp;A302,AbsAu,"&gt;="&amp;A302)&gt;0),C302&amp;" absent. ","")&amp;IF(AND(D302&lt;&gt;"",COUNTIFS(AbsMed,D302,AbsDu,"&lt;="&amp;A302,AbsAu,"&gt;="&amp;A302)&gt;0),D302&amp;" absent. ","")</f>
        <v>0</v>
      </c>
    </row>
    <row r="303" spans="1:5">
      <c r="A303" s="10">
        <f>Debut+301</f>
        <v>2027-10-29 00:00:00</v>
      </c>
      <c r="B303" s="6">
        <f>IF(COUNTIF(Feries,A303)&gt;0,"Férié",IF(WEEKDAY(A303,2)=6,"Samedi",IF(WEEKDAY(A303,2)=7,"Dimanche","Semaine")))</f>
        <v>0</v>
      </c>
      <c r="C303" s="8"/>
      <c r="D303" s="8"/>
      <c r="E303" s="11">
        <f>IF(AND(C303&lt;&gt;"",C303=C302),"Ligne 1 : même médecin deux jours de suite. ","")&amp;IF(AND(D303&lt;&gt;"",D303=D302),"Ligne 2 : même médecin deux jours de suite. ","")&amp;IF(AND(C303&lt;&gt;"",C303=D303),"Même médecin sur les deux lignes. ","")&amp;IF(AND(C303&lt;&gt;"",COUNTIFS(AbsMed,C303,AbsDu,"&lt;="&amp;A303,AbsAu,"&gt;="&amp;A303)&gt;0),C303&amp;" absent. ","")&amp;IF(AND(D303&lt;&gt;"",COUNTIFS(AbsMed,D303,AbsDu,"&lt;="&amp;A303,AbsAu,"&gt;="&amp;A303)&gt;0),D303&amp;" absent. ","")</f>
        <v>0</v>
      </c>
    </row>
    <row r="304" spans="1:5">
      <c r="A304" s="10">
        <f>Debut+302</f>
        <v>2027-10-30 00:00:00</v>
      </c>
      <c r="B304" s="6">
        <f>IF(COUNTIF(Feries,A304)&gt;0,"Férié",IF(WEEKDAY(A304,2)=6,"Samedi",IF(WEEKDAY(A304,2)=7,"Dimanche","Semaine")))</f>
        <v>0</v>
      </c>
      <c r="C304" s="8"/>
      <c r="D304" s="8"/>
      <c r="E304" s="11">
        <f>IF(AND(C304&lt;&gt;"",C304=C303),"Ligne 1 : même médecin deux jours de suite. ","")&amp;IF(AND(D304&lt;&gt;"",D304=D303),"Ligne 2 : même médecin deux jours de suite. ","")&amp;IF(AND(C304&lt;&gt;"",C304=D304),"Même médecin sur les deux lignes. ","")&amp;IF(AND(C304&lt;&gt;"",COUNTIFS(AbsMed,C304,AbsDu,"&lt;="&amp;A304,AbsAu,"&gt;="&amp;A304)&gt;0),C304&amp;" absent. ","")&amp;IF(AND(D304&lt;&gt;"",COUNTIFS(AbsMed,D304,AbsDu,"&lt;="&amp;A304,AbsAu,"&gt;="&amp;A304)&gt;0),D304&amp;" absent. ","")</f>
        <v>0</v>
      </c>
    </row>
    <row r="305" spans="1:5">
      <c r="A305" s="10">
        <f>Debut+303</f>
        <v>2027-10-31 00:00:00</v>
      </c>
      <c r="B305" s="6">
        <f>IF(COUNTIF(Feries,A305)&gt;0,"Férié",IF(WEEKDAY(A305,2)=6,"Samedi",IF(WEEKDAY(A305,2)=7,"Dimanche","Semaine")))</f>
        <v>0</v>
      </c>
      <c r="C305" s="8"/>
      <c r="D305" s="8"/>
      <c r="E305" s="11">
        <f>IF(AND(C305&lt;&gt;"",C305=C304),"Ligne 1 : même médecin deux jours de suite. ","")&amp;IF(AND(D305&lt;&gt;"",D305=D304),"Ligne 2 : même médecin deux jours de suite. ","")&amp;IF(AND(C305&lt;&gt;"",C305=D305),"Même médecin sur les deux lignes. ","")&amp;IF(AND(C305&lt;&gt;"",COUNTIFS(AbsMed,C305,AbsDu,"&lt;="&amp;A305,AbsAu,"&gt;="&amp;A305)&gt;0),C305&amp;" absent. ","")&amp;IF(AND(D305&lt;&gt;"",COUNTIFS(AbsMed,D305,AbsDu,"&lt;="&amp;A305,AbsAu,"&gt;="&amp;A305)&gt;0),D305&amp;" absent. ","")</f>
        <v>0</v>
      </c>
    </row>
    <row r="306" spans="1:5">
      <c r="A306" s="10">
        <f>Debut+304</f>
        <v>2027-11-01 00:00:00</v>
      </c>
      <c r="B306" s="6">
        <f>IF(COUNTIF(Feries,A306)&gt;0,"Férié",IF(WEEKDAY(A306,2)=6,"Samedi",IF(WEEKDAY(A306,2)=7,"Dimanche","Semaine")))</f>
        <v>0</v>
      </c>
      <c r="C306" s="8"/>
      <c r="D306" s="8"/>
      <c r="E306" s="11">
        <f>IF(AND(C306&lt;&gt;"",C306=C305),"Ligne 1 : même médecin deux jours de suite. ","")&amp;IF(AND(D306&lt;&gt;"",D306=D305),"Ligne 2 : même médecin deux jours de suite. ","")&amp;IF(AND(C306&lt;&gt;"",C306=D306),"Même médecin sur les deux lignes. ","")&amp;IF(AND(C306&lt;&gt;"",COUNTIFS(AbsMed,C306,AbsDu,"&lt;="&amp;A306,AbsAu,"&gt;="&amp;A306)&gt;0),C306&amp;" absent. ","")&amp;IF(AND(D306&lt;&gt;"",COUNTIFS(AbsMed,D306,AbsDu,"&lt;="&amp;A306,AbsAu,"&gt;="&amp;A306)&gt;0),D306&amp;" absent. ","")</f>
        <v>0</v>
      </c>
    </row>
    <row r="307" spans="1:5">
      <c r="A307" s="10">
        <f>Debut+305</f>
        <v>2027-11-02 00:00:00</v>
      </c>
      <c r="B307" s="6">
        <f>IF(COUNTIF(Feries,A307)&gt;0,"Férié",IF(WEEKDAY(A307,2)=6,"Samedi",IF(WEEKDAY(A307,2)=7,"Dimanche","Semaine")))</f>
        <v>0</v>
      </c>
      <c r="C307" s="8"/>
      <c r="D307" s="8"/>
      <c r="E307" s="11">
        <f>IF(AND(C307&lt;&gt;"",C307=C306),"Ligne 1 : même médecin deux jours de suite. ","")&amp;IF(AND(D307&lt;&gt;"",D307=D306),"Ligne 2 : même médecin deux jours de suite. ","")&amp;IF(AND(C307&lt;&gt;"",C307=D307),"Même médecin sur les deux lignes. ","")&amp;IF(AND(C307&lt;&gt;"",COUNTIFS(AbsMed,C307,AbsDu,"&lt;="&amp;A307,AbsAu,"&gt;="&amp;A307)&gt;0),C307&amp;" absent. ","")&amp;IF(AND(D307&lt;&gt;"",COUNTIFS(AbsMed,D307,AbsDu,"&lt;="&amp;A307,AbsAu,"&gt;="&amp;A307)&gt;0),D307&amp;" absent. ","")</f>
        <v>0</v>
      </c>
    </row>
    <row r="308" spans="1:5">
      <c r="A308" s="10">
        <f>Debut+306</f>
        <v>2027-11-03 00:00:00</v>
      </c>
      <c r="B308" s="6">
        <f>IF(COUNTIF(Feries,A308)&gt;0,"Férié",IF(WEEKDAY(A308,2)=6,"Samedi",IF(WEEKDAY(A308,2)=7,"Dimanche","Semaine")))</f>
        <v>0</v>
      </c>
      <c r="C308" s="8"/>
      <c r="D308" s="8"/>
      <c r="E308" s="11">
        <f>IF(AND(C308&lt;&gt;"",C308=C307),"Ligne 1 : même médecin deux jours de suite. ","")&amp;IF(AND(D308&lt;&gt;"",D308=D307),"Ligne 2 : même médecin deux jours de suite. ","")&amp;IF(AND(C308&lt;&gt;"",C308=D308),"Même médecin sur les deux lignes. ","")&amp;IF(AND(C308&lt;&gt;"",COUNTIFS(AbsMed,C308,AbsDu,"&lt;="&amp;A308,AbsAu,"&gt;="&amp;A308)&gt;0),C308&amp;" absent. ","")&amp;IF(AND(D308&lt;&gt;"",COUNTIFS(AbsMed,D308,AbsDu,"&lt;="&amp;A308,AbsAu,"&gt;="&amp;A308)&gt;0),D308&amp;" absent. ","")</f>
        <v>0</v>
      </c>
    </row>
    <row r="309" spans="1:5">
      <c r="A309" s="10">
        <f>Debut+307</f>
        <v>2027-11-04 00:00:00</v>
      </c>
      <c r="B309" s="6">
        <f>IF(COUNTIF(Feries,A309)&gt;0,"Férié",IF(WEEKDAY(A309,2)=6,"Samedi",IF(WEEKDAY(A309,2)=7,"Dimanche","Semaine")))</f>
        <v>0</v>
      </c>
      <c r="C309" s="8"/>
      <c r="D309" s="8"/>
      <c r="E309" s="11">
        <f>IF(AND(C309&lt;&gt;"",C309=C308),"Ligne 1 : même médecin deux jours de suite. ","")&amp;IF(AND(D309&lt;&gt;"",D309=D308),"Ligne 2 : même médecin deux jours de suite. ","")&amp;IF(AND(C309&lt;&gt;"",C309=D309),"Même médecin sur les deux lignes. ","")&amp;IF(AND(C309&lt;&gt;"",COUNTIFS(AbsMed,C309,AbsDu,"&lt;="&amp;A309,AbsAu,"&gt;="&amp;A309)&gt;0),C309&amp;" absent. ","")&amp;IF(AND(D309&lt;&gt;"",COUNTIFS(AbsMed,D309,AbsDu,"&lt;="&amp;A309,AbsAu,"&gt;="&amp;A309)&gt;0),D309&amp;" absent. ","")</f>
        <v>0</v>
      </c>
    </row>
    <row r="310" spans="1:5">
      <c r="A310" s="10">
        <f>Debut+308</f>
        <v>2027-11-05 00:00:00</v>
      </c>
      <c r="B310" s="6">
        <f>IF(COUNTIF(Feries,A310)&gt;0,"Férié",IF(WEEKDAY(A310,2)=6,"Samedi",IF(WEEKDAY(A310,2)=7,"Dimanche","Semaine")))</f>
        <v>0</v>
      </c>
      <c r="C310" s="8"/>
      <c r="D310" s="8"/>
      <c r="E310" s="11">
        <f>IF(AND(C310&lt;&gt;"",C310=C309),"Ligne 1 : même médecin deux jours de suite. ","")&amp;IF(AND(D310&lt;&gt;"",D310=D309),"Ligne 2 : même médecin deux jours de suite. ","")&amp;IF(AND(C310&lt;&gt;"",C310=D310),"Même médecin sur les deux lignes. ","")&amp;IF(AND(C310&lt;&gt;"",COUNTIFS(AbsMed,C310,AbsDu,"&lt;="&amp;A310,AbsAu,"&gt;="&amp;A310)&gt;0),C310&amp;" absent. ","")&amp;IF(AND(D310&lt;&gt;"",COUNTIFS(AbsMed,D310,AbsDu,"&lt;="&amp;A310,AbsAu,"&gt;="&amp;A310)&gt;0),D310&amp;" absent. ","")</f>
        <v>0</v>
      </c>
    </row>
    <row r="311" spans="1:5">
      <c r="A311" s="10">
        <f>Debut+309</f>
        <v>2027-11-06 00:00:00</v>
      </c>
      <c r="B311" s="6">
        <f>IF(COUNTIF(Feries,A311)&gt;0,"Férié",IF(WEEKDAY(A311,2)=6,"Samedi",IF(WEEKDAY(A311,2)=7,"Dimanche","Semaine")))</f>
        <v>0</v>
      </c>
      <c r="C311" s="8"/>
      <c r="D311" s="8"/>
      <c r="E311" s="11">
        <f>IF(AND(C311&lt;&gt;"",C311=C310),"Ligne 1 : même médecin deux jours de suite. ","")&amp;IF(AND(D311&lt;&gt;"",D311=D310),"Ligne 2 : même médecin deux jours de suite. ","")&amp;IF(AND(C311&lt;&gt;"",C311=D311),"Même médecin sur les deux lignes. ","")&amp;IF(AND(C311&lt;&gt;"",COUNTIFS(AbsMed,C311,AbsDu,"&lt;="&amp;A311,AbsAu,"&gt;="&amp;A311)&gt;0),C311&amp;" absent. ","")&amp;IF(AND(D311&lt;&gt;"",COUNTIFS(AbsMed,D311,AbsDu,"&lt;="&amp;A311,AbsAu,"&gt;="&amp;A311)&gt;0),D311&amp;" absent. ","")</f>
        <v>0</v>
      </c>
    </row>
    <row r="312" spans="1:5">
      <c r="A312" s="10">
        <f>Debut+310</f>
        <v>2027-11-07 00:00:00</v>
      </c>
      <c r="B312" s="6">
        <f>IF(COUNTIF(Feries,A312)&gt;0,"Férié",IF(WEEKDAY(A312,2)=6,"Samedi",IF(WEEKDAY(A312,2)=7,"Dimanche","Semaine")))</f>
        <v>0</v>
      </c>
      <c r="C312" s="8"/>
      <c r="D312" s="8"/>
      <c r="E312" s="11">
        <f>IF(AND(C312&lt;&gt;"",C312=C311),"Ligne 1 : même médecin deux jours de suite. ","")&amp;IF(AND(D312&lt;&gt;"",D312=D311),"Ligne 2 : même médecin deux jours de suite. ","")&amp;IF(AND(C312&lt;&gt;"",C312=D312),"Même médecin sur les deux lignes. ","")&amp;IF(AND(C312&lt;&gt;"",COUNTIFS(AbsMed,C312,AbsDu,"&lt;="&amp;A312,AbsAu,"&gt;="&amp;A312)&gt;0),C312&amp;" absent. ","")&amp;IF(AND(D312&lt;&gt;"",COUNTIFS(AbsMed,D312,AbsDu,"&lt;="&amp;A312,AbsAu,"&gt;="&amp;A312)&gt;0),D312&amp;" absent. ","")</f>
        <v>0</v>
      </c>
    </row>
    <row r="313" spans="1:5">
      <c r="A313" s="10">
        <f>Debut+311</f>
        <v>2027-11-08 00:00:00</v>
      </c>
      <c r="B313" s="6">
        <f>IF(COUNTIF(Feries,A313)&gt;0,"Férié",IF(WEEKDAY(A313,2)=6,"Samedi",IF(WEEKDAY(A313,2)=7,"Dimanche","Semaine")))</f>
        <v>0</v>
      </c>
      <c r="C313" s="8"/>
      <c r="D313" s="8"/>
      <c r="E313" s="11">
        <f>IF(AND(C313&lt;&gt;"",C313=C312),"Ligne 1 : même médecin deux jours de suite. ","")&amp;IF(AND(D313&lt;&gt;"",D313=D312),"Ligne 2 : même médecin deux jours de suite. ","")&amp;IF(AND(C313&lt;&gt;"",C313=D313),"Même médecin sur les deux lignes. ","")&amp;IF(AND(C313&lt;&gt;"",COUNTIFS(AbsMed,C313,AbsDu,"&lt;="&amp;A313,AbsAu,"&gt;="&amp;A313)&gt;0),C313&amp;" absent. ","")&amp;IF(AND(D313&lt;&gt;"",COUNTIFS(AbsMed,D313,AbsDu,"&lt;="&amp;A313,AbsAu,"&gt;="&amp;A313)&gt;0),D313&amp;" absent. ","")</f>
        <v>0</v>
      </c>
    </row>
    <row r="314" spans="1:5">
      <c r="A314" s="10">
        <f>Debut+312</f>
        <v>2027-11-09 00:00:00</v>
      </c>
      <c r="B314" s="6">
        <f>IF(COUNTIF(Feries,A314)&gt;0,"Férié",IF(WEEKDAY(A314,2)=6,"Samedi",IF(WEEKDAY(A314,2)=7,"Dimanche","Semaine")))</f>
        <v>0</v>
      </c>
      <c r="C314" s="8"/>
      <c r="D314" s="8"/>
      <c r="E314" s="11">
        <f>IF(AND(C314&lt;&gt;"",C314=C313),"Ligne 1 : même médecin deux jours de suite. ","")&amp;IF(AND(D314&lt;&gt;"",D314=D313),"Ligne 2 : même médecin deux jours de suite. ","")&amp;IF(AND(C314&lt;&gt;"",C314=D314),"Même médecin sur les deux lignes. ","")&amp;IF(AND(C314&lt;&gt;"",COUNTIFS(AbsMed,C314,AbsDu,"&lt;="&amp;A314,AbsAu,"&gt;="&amp;A314)&gt;0),C314&amp;" absent. ","")&amp;IF(AND(D314&lt;&gt;"",COUNTIFS(AbsMed,D314,AbsDu,"&lt;="&amp;A314,AbsAu,"&gt;="&amp;A314)&gt;0),D314&amp;" absent. ","")</f>
        <v>0</v>
      </c>
    </row>
    <row r="315" spans="1:5">
      <c r="A315" s="10">
        <f>Debut+313</f>
        <v>2027-11-10 00:00:00</v>
      </c>
      <c r="B315" s="6">
        <f>IF(COUNTIF(Feries,A315)&gt;0,"Férié",IF(WEEKDAY(A315,2)=6,"Samedi",IF(WEEKDAY(A315,2)=7,"Dimanche","Semaine")))</f>
        <v>0</v>
      </c>
      <c r="C315" s="8"/>
      <c r="D315" s="8"/>
      <c r="E315" s="11">
        <f>IF(AND(C315&lt;&gt;"",C315=C314),"Ligne 1 : même médecin deux jours de suite. ","")&amp;IF(AND(D315&lt;&gt;"",D315=D314),"Ligne 2 : même médecin deux jours de suite. ","")&amp;IF(AND(C315&lt;&gt;"",C315=D315),"Même médecin sur les deux lignes. ","")&amp;IF(AND(C315&lt;&gt;"",COUNTIFS(AbsMed,C315,AbsDu,"&lt;="&amp;A315,AbsAu,"&gt;="&amp;A315)&gt;0),C315&amp;" absent. ","")&amp;IF(AND(D315&lt;&gt;"",COUNTIFS(AbsMed,D315,AbsDu,"&lt;="&amp;A315,AbsAu,"&gt;="&amp;A315)&gt;0),D315&amp;" absent. ","")</f>
        <v>0</v>
      </c>
    </row>
    <row r="316" spans="1:5">
      <c r="A316" s="10">
        <f>Debut+314</f>
        <v>2027-11-11 00:00:00</v>
      </c>
      <c r="B316" s="6">
        <f>IF(COUNTIF(Feries,A316)&gt;0,"Férié",IF(WEEKDAY(A316,2)=6,"Samedi",IF(WEEKDAY(A316,2)=7,"Dimanche","Semaine")))</f>
        <v>0</v>
      </c>
      <c r="C316" s="8"/>
      <c r="D316" s="8"/>
      <c r="E316" s="11">
        <f>IF(AND(C316&lt;&gt;"",C316=C315),"Ligne 1 : même médecin deux jours de suite. ","")&amp;IF(AND(D316&lt;&gt;"",D316=D315),"Ligne 2 : même médecin deux jours de suite. ","")&amp;IF(AND(C316&lt;&gt;"",C316=D316),"Même médecin sur les deux lignes. ","")&amp;IF(AND(C316&lt;&gt;"",COUNTIFS(AbsMed,C316,AbsDu,"&lt;="&amp;A316,AbsAu,"&gt;="&amp;A316)&gt;0),C316&amp;" absent. ","")&amp;IF(AND(D316&lt;&gt;"",COUNTIFS(AbsMed,D316,AbsDu,"&lt;="&amp;A316,AbsAu,"&gt;="&amp;A316)&gt;0),D316&amp;" absent. ","")</f>
        <v>0</v>
      </c>
    </row>
    <row r="317" spans="1:5">
      <c r="A317" s="10">
        <f>Debut+315</f>
        <v>2027-11-12 00:00:00</v>
      </c>
      <c r="B317" s="6">
        <f>IF(COUNTIF(Feries,A317)&gt;0,"Férié",IF(WEEKDAY(A317,2)=6,"Samedi",IF(WEEKDAY(A317,2)=7,"Dimanche","Semaine")))</f>
        <v>0</v>
      </c>
      <c r="C317" s="8"/>
      <c r="D317" s="8"/>
      <c r="E317" s="11">
        <f>IF(AND(C317&lt;&gt;"",C317=C316),"Ligne 1 : même médecin deux jours de suite. ","")&amp;IF(AND(D317&lt;&gt;"",D317=D316),"Ligne 2 : même médecin deux jours de suite. ","")&amp;IF(AND(C317&lt;&gt;"",C317=D317),"Même médecin sur les deux lignes. ","")&amp;IF(AND(C317&lt;&gt;"",COUNTIFS(AbsMed,C317,AbsDu,"&lt;="&amp;A317,AbsAu,"&gt;="&amp;A317)&gt;0),C317&amp;" absent. ","")&amp;IF(AND(D317&lt;&gt;"",COUNTIFS(AbsMed,D317,AbsDu,"&lt;="&amp;A317,AbsAu,"&gt;="&amp;A317)&gt;0),D317&amp;" absent. ","")</f>
        <v>0</v>
      </c>
    </row>
    <row r="318" spans="1:5">
      <c r="A318" s="10">
        <f>Debut+316</f>
        <v>2027-11-13 00:00:00</v>
      </c>
      <c r="B318" s="6">
        <f>IF(COUNTIF(Feries,A318)&gt;0,"Férié",IF(WEEKDAY(A318,2)=6,"Samedi",IF(WEEKDAY(A318,2)=7,"Dimanche","Semaine")))</f>
        <v>0</v>
      </c>
      <c r="C318" s="8"/>
      <c r="D318" s="8"/>
      <c r="E318" s="11">
        <f>IF(AND(C318&lt;&gt;"",C318=C317),"Ligne 1 : même médecin deux jours de suite. ","")&amp;IF(AND(D318&lt;&gt;"",D318=D317),"Ligne 2 : même médecin deux jours de suite. ","")&amp;IF(AND(C318&lt;&gt;"",C318=D318),"Même médecin sur les deux lignes. ","")&amp;IF(AND(C318&lt;&gt;"",COUNTIFS(AbsMed,C318,AbsDu,"&lt;="&amp;A318,AbsAu,"&gt;="&amp;A318)&gt;0),C318&amp;" absent. ","")&amp;IF(AND(D318&lt;&gt;"",COUNTIFS(AbsMed,D318,AbsDu,"&lt;="&amp;A318,AbsAu,"&gt;="&amp;A318)&gt;0),D318&amp;" absent. ","")</f>
        <v>0</v>
      </c>
    </row>
    <row r="319" spans="1:5">
      <c r="A319" s="10">
        <f>Debut+317</f>
        <v>2027-11-14 00:00:00</v>
      </c>
      <c r="B319" s="6">
        <f>IF(COUNTIF(Feries,A319)&gt;0,"Férié",IF(WEEKDAY(A319,2)=6,"Samedi",IF(WEEKDAY(A319,2)=7,"Dimanche","Semaine")))</f>
        <v>0</v>
      </c>
      <c r="C319" s="8"/>
      <c r="D319" s="8"/>
      <c r="E319" s="11">
        <f>IF(AND(C319&lt;&gt;"",C319=C318),"Ligne 1 : même médecin deux jours de suite. ","")&amp;IF(AND(D319&lt;&gt;"",D319=D318),"Ligne 2 : même médecin deux jours de suite. ","")&amp;IF(AND(C319&lt;&gt;"",C319=D319),"Même médecin sur les deux lignes. ","")&amp;IF(AND(C319&lt;&gt;"",COUNTIFS(AbsMed,C319,AbsDu,"&lt;="&amp;A319,AbsAu,"&gt;="&amp;A319)&gt;0),C319&amp;" absent. ","")&amp;IF(AND(D319&lt;&gt;"",COUNTIFS(AbsMed,D319,AbsDu,"&lt;="&amp;A319,AbsAu,"&gt;="&amp;A319)&gt;0),D319&amp;" absent. ","")</f>
        <v>0</v>
      </c>
    </row>
    <row r="320" spans="1:5">
      <c r="A320" s="10">
        <f>Debut+318</f>
        <v>2027-11-15 00:00:00</v>
      </c>
      <c r="B320" s="6">
        <f>IF(COUNTIF(Feries,A320)&gt;0,"Férié",IF(WEEKDAY(A320,2)=6,"Samedi",IF(WEEKDAY(A320,2)=7,"Dimanche","Semaine")))</f>
        <v>0</v>
      </c>
      <c r="C320" s="8"/>
      <c r="D320" s="8"/>
      <c r="E320" s="11">
        <f>IF(AND(C320&lt;&gt;"",C320=C319),"Ligne 1 : même médecin deux jours de suite. ","")&amp;IF(AND(D320&lt;&gt;"",D320=D319),"Ligne 2 : même médecin deux jours de suite. ","")&amp;IF(AND(C320&lt;&gt;"",C320=D320),"Même médecin sur les deux lignes. ","")&amp;IF(AND(C320&lt;&gt;"",COUNTIFS(AbsMed,C320,AbsDu,"&lt;="&amp;A320,AbsAu,"&gt;="&amp;A320)&gt;0),C320&amp;" absent. ","")&amp;IF(AND(D320&lt;&gt;"",COUNTIFS(AbsMed,D320,AbsDu,"&lt;="&amp;A320,AbsAu,"&gt;="&amp;A320)&gt;0),D320&amp;" absent. ","")</f>
        <v>0</v>
      </c>
    </row>
    <row r="321" spans="1:5">
      <c r="A321" s="10">
        <f>Debut+319</f>
        <v>2027-11-16 00:00:00</v>
      </c>
      <c r="B321" s="6">
        <f>IF(COUNTIF(Feries,A321)&gt;0,"Férié",IF(WEEKDAY(A321,2)=6,"Samedi",IF(WEEKDAY(A321,2)=7,"Dimanche","Semaine")))</f>
        <v>0</v>
      </c>
      <c r="C321" s="8"/>
      <c r="D321" s="8"/>
      <c r="E321" s="11">
        <f>IF(AND(C321&lt;&gt;"",C321=C320),"Ligne 1 : même médecin deux jours de suite. ","")&amp;IF(AND(D321&lt;&gt;"",D321=D320),"Ligne 2 : même médecin deux jours de suite. ","")&amp;IF(AND(C321&lt;&gt;"",C321=D321),"Même médecin sur les deux lignes. ","")&amp;IF(AND(C321&lt;&gt;"",COUNTIFS(AbsMed,C321,AbsDu,"&lt;="&amp;A321,AbsAu,"&gt;="&amp;A321)&gt;0),C321&amp;" absent. ","")&amp;IF(AND(D321&lt;&gt;"",COUNTIFS(AbsMed,D321,AbsDu,"&lt;="&amp;A321,AbsAu,"&gt;="&amp;A321)&gt;0),D321&amp;" absent. ","")</f>
        <v>0</v>
      </c>
    </row>
    <row r="322" spans="1:5">
      <c r="A322" s="10">
        <f>Debut+320</f>
        <v>2027-11-17 00:00:00</v>
      </c>
      <c r="B322" s="6">
        <f>IF(COUNTIF(Feries,A322)&gt;0,"Férié",IF(WEEKDAY(A322,2)=6,"Samedi",IF(WEEKDAY(A322,2)=7,"Dimanche","Semaine")))</f>
        <v>0</v>
      </c>
      <c r="C322" s="8"/>
      <c r="D322" s="8"/>
      <c r="E322" s="11">
        <f>IF(AND(C322&lt;&gt;"",C322=C321),"Ligne 1 : même médecin deux jours de suite. ","")&amp;IF(AND(D322&lt;&gt;"",D322=D321),"Ligne 2 : même médecin deux jours de suite. ","")&amp;IF(AND(C322&lt;&gt;"",C322=D322),"Même médecin sur les deux lignes. ","")&amp;IF(AND(C322&lt;&gt;"",COUNTIFS(AbsMed,C322,AbsDu,"&lt;="&amp;A322,AbsAu,"&gt;="&amp;A322)&gt;0),C322&amp;" absent. ","")&amp;IF(AND(D322&lt;&gt;"",COUNTIFS(AbsMed,D322,AbsDu,"&lt;="&amp;A322,AbsAu,"&gt;="&amp;A322)&gt;0),D322&amp;" absent. ","")</f>
        <v>0</v>
      </c>
    </row>
    <row r="323" spans="1:5">
      <c r="A323" s="10">
        <f>Debut+321</f>
        <v>2027-11-18 00:00:00</v>
      </c>
      <c r="B323" s="6">
        <f>IF(COUNTIF(Feries,A323)&gt;0,"Férié",IF(WEEKDAY(A323,2)=6,"Samedi",IF(WEEKDAY(A323,2)=7,"Dimanche","Semaine")))</f>
        <v>0</v>
      </c>
      <c r="C323" s="8"/>
      <c r="D323" s="8"/>
      <c r="E323" s="11">
        <f>IF(AND(C323&lt;&gt;"",C323=C322),"Ligne 1 : même médecin deux jours de suite. ","")&amp;IF(AND(D323&lt;&gt;"",D323=D322),"Ligne 2 : même médecin deux jours de suite. ","")&amp;IF(AND(C323&lt;&gt;"",C323=D323),"Même médecin sur les deux lignes. ","")&amp;IF(AND(C323&lt;&gt;"",COUNTIFS(AbsMed,C323,AbsDu,"&lt;="&amp;A323,AbsAu,"&gt;="&amp;A323)&gt;0),C323&amp;" absent. ","")&amp;IF(AND(D323&lt;&gt;"",COUNTIFS(AbsMed,D323,AbsDu,"&lt;="&amp;A323,AbsAu,"&gt;="&amp;A323)&gt;0),D323&amp;" absent. ","")</f>
        <v>0</v>
      </c>
    </row>
    <row r="324" spans="1:5">
      <c r="A324" s="10">
        <f>Debut+322</f>
        <v>2027-11-19 00:00:00</v>
      </c>
      <c r="B324" s="6">
        <f>IF(COUNTIF(Feries,A324)&gt;0,"Férié",IF(WEEKDAY(A324,2)=6,"Samedi",IF(WEEKDAY(A324,2)=7,"Dimanche","Semaine")))</f>
        <v>0</v>
      </c>
      <c r="C324" s="8"/>
      <c r="D324" s="8"/>
      <c r="E324" s="11">
        <f>IF(AND(C324&lt;&gt;"",C324=C323),"Ligne 1 : même médecin deux jours de suite. ","")&amp;IF(AND(D324&lt;&gt;"",D324=D323),"Ligne 2 : même médecin deux jours de suite. ","")&amp;IF(AND(C324&lt;&gt;"",C324=D324),"Même médecin sur les deux lignes. ","")&amp;IF(AND(C324&lt;&gt;"",COUNTIFS(AbsMed,C324,AbsDu,"&lt;="&amp;A324,AbsAu,"&gt;="&amp;A324)&gt;0),C324&amp;" absent. ","")&amp;IF(AND(D324&lt;&gt;"",COUNTIFS(AbsMed,D324,AbsDu,"&lt;="&amp;A324,AbsAu,"&gt;="&amp;A324)&gt;0),D324&amp;" absent. ","")</f>
        <v>0</v>
      </c>
    </row>
    <row r="325" spans="1:5">
      <c r="A325" s="10">
        <f>Debut+323</f>
        <v>2027-11-20 00:00:00</v>
      </c>
      <c r="B325" s="6">
        <f>IF(COUNTIF(Feries,A325)&gt;0,"Férié",IF(WEEKDAY(A325,2)=6,"Samedi",IF(WEEKDAY(A325,2)=7,"Dimanche","Semaine")))</f>
        <v>0</v>
      </c>
      <c r="C325" s="8"/>
      <c r="D325" s="8"/>
      <c r="E325" s="11">
        <f>IF(AND(C325&lt;&gt;"",C325=C324),"Ligne 1 : même médecin deux jours de suite. ","")&amp;IF(AND(D325&lt;&gt;"",D325=D324),"Ligne 2 : même médecin deux jours de suite. ","")&amp;IF(AND(C325&lt;&gt;"",C325=D325),"Même médecin sur les deux lignes. ","")&amp;IF(AND(C325&lt;&gt;"",COUNTIFS(AbsMed,C325,AbsDu,"&lt;="&amp;A325,AbsAu,"&gt;="&amp;A325)&gt;0),C325&amp;" absent. ","")&amp;IF(AND(D325&lt;&gt;"",COUNTIFS(AbsMed,D325,AbsDu,"&lt;="&amp;A325,AbsAu,"&gt;="&amp;A325)&gt;0),D325&amp;" absent. ","")</f>
        <v>0</v>
      </c>
    </row>
    <row r="326" spans="1:5">
      <c r="A326" s="10">
        <f>Debut+324</f>
        <v>2027-11-21 00:00:00</v>
      </c>
      <c r="B326" s="6">
        <f>IF(COUNTIF(Feries,A326)&gt;0,"Férié",IF(WEEKDAY(A326,2)=6,"Samedi",IF(WEEKDAY(A326,2)=7,"Dimanche","Semaine")))</f>
        <v>0</v>
      </c>
      <c r="C326" s="8"/>
      <c r="D326" s="8"/>
      <c r="E326" s="11">
        <f>IF(AND(C326&lt;&gt;"",C326=C325),"Ligne 1 : même médecin deux jours de suite. ","")&amp;IF(AND(D326&lt;&gt;"",D326=D325),"Ligne 2 : même médecin deux jours de suite. ","")&amp;IF(AND(C326&lt;&gt;"",C326=D326),"Même médecin sur les deux lignes. ","")&amp;IF(AND(C326&lt;&gt;"",COUNTIFS(AbsMed,C326,AbsDu,"&lt;="&amp;A326,AbsAu,"&gt;="&amp;A326)&gt;0),C326&amp;" absent. ","")&amp;IF(AND(D326&lt;&gt;"",COUNTIFS(AbsMed,D326,AbsDu,"&lt;="&amp;A326,AbsAu,"&gt;="&amp;A326)&gt;0),D326&amp;" absent. ","")</f>
        <v>0</v>
      </c>
    </row>
    <row r="327" spans="1:5">
      <c r="A327" s="10">
        <f>Debut+325</f>
        <v>2027-11-22 00:00:00</v>
      </c>
      <c r="B327" s="6">
        <f>IF(COUNTIF(Feries,A327)&gt;0,"Férié",IF(WEEKDAY(A327,2)=6,"Samedi",IF(WEEKDAY(A327,2)=7,"Dimanche","Semaine")))</f>
        <v>0</v>
      </c>
      <c r="C327" s="8"/>
      <c r="D327" s="8"/>
      <c r="E327" s="11">
        <f>IF(AND(C327&lt;&gt;"",C327=C326),"Ligne 1 : même médecin deux jours de suite. ","")&amp;IF(AND(D327&lt;&gt;"",D327=D326),"Ligne 2 : même médecin deux jours de suite. ","")&amp;IF(AND(C327&lt;&gt;"",C327=D327),"Même médecin sur les deux lignes. ","")&amp;IF(AND(C327&lt;&gt;"",COUNTIFS(AbsMed,C327,AbsDu,"&lt;="&amp;A327,AbsAu,"&gt;="&amp;A327)&gt;0),C327&amp;" absent. ","")&amp;IF(AND(D327&lt;&gt;"",COUNTIFS(AbsMed,D327,AbsDu,"&lt;="&amp;A327,AbsAu,"&gt;="&amp;A327)&gt;0),D327&amp;" absent. ","")</f>
        <v>0</v>
      </c>
    </row>
    <row r="328" spans="1:5">
      <c r="A328" s="10">
        <f>Debut+326</f>
        <v>2027-11-23 00:00:00</v>
      </c>
      <c r="B328" s="6">
        <f>IF(COUNTIF(Feries,A328)&gt;0,"Férié",IF(WEEKDAY(A328,2)=6,"Samedi",IF(WEEKDAY(A328,2)=7,"Dimanche","Semaine")))</f>
        <v>0</v>
      </c>
      <c r="C328" s="8"/>
      <c r="D328" s="8"/>
      <c r="E328" s="11">
        <f>IF(AND(C328&lt;&gt;"",C328=C327),"Ligne 1 : même médecin deux jours de suite. ","")&amp;IF(AND(D328&lt;&gt;"",D328=D327),"Ligne 2 : même médecin deux jours de suite. ","")&amp;IF(AND(C328&lt;&gt;"",C328=D328),"Même médecin sur les deux lignes. ","")&amp;IF(AND(C328&lt;&gt;"",COUNTIFS(AbsMed,C328,AbsDu,"&lt;="&amp;A328,AbsAu,"&gt;="&amp;A328)&gt;0),C328&amp;" absent. ","")&amp;IF(AND(D328&lt;&gt;"",COUNTIFS(AbsMed,D328,AbsDu,"&lt;="&amp;A328,AbsAu,"&gt;="&amp;A328)&gt;0),D328&amp;" absent. ","")</f>
        <v>0</v>
      </c>
    </row>
    <row r="329" spans="1:5">
      <c r="A329" s="10">
        <f>Debut+327</f>
        <v>2027-11-24 00:00:00</v>
      </c>
      <c r="B329" s="6">
        <f>IF(COUNTIF(Feries,A329)&gt;0,"Férié",IF(WEEKDAY(A329,2)=6,"Samedi",IF(WEEKDAY(A329,2)=7,"Dimanche","Semaine")))</f>
        <v>0</v>
      </c>
      <c r="C329" s="8"/>
      <c r="D329" s="8"/>
      <c r="E329" s="11">
        <f>IF(AND(C329&lt;&gt;"",C329=C328),"Ligne 1 : même médecin deux jours de suite. ","")&amp;IF(AND(D329&lt;&gt;"",D329=D328),"Ligne 2 : même médecin deux jours de suite. ","")&amp;IF(AND(C329&lt;&gt;"",C329=D329),"Même médecin sur les deux lignes. ","")&amp;IF(AND(C329&lt;&gt;"",COUNTIFS(AbsMed,C329,AbsDu,"&lt;="&amp;A329,AbsAu,"&gt;="&amp;A329)&gt;0),C329&amp;" absent. ","")&amp;IF(AND(D329&lt;&gt;"",COUNTIFS(AbsMed,D329,AbsDu,"&lt;="&amp;A329,AbsAu,"&gt;="&amp;A329)&gt;0),D329&amp;" absent. ","")</f>
        <v>0</v>
      </c>
    </row>
    <row r="330" spans="1:5">
      <c r="A330" s="10">
        <f>Debut+328</f>
        <v>2027-11-25 00:00:00</v>
      </c>
      <c r="B330" s="6">
        <f>IF(COUNTIF(Feries,A330)&gt;0,"Férié",IF(WEEKDAY(A330,2)=6,"Samedi",IF(WEEKDAY(A330,2)=7,"Dimanche","Semaine")))</f>
        <v>0</v>
      </c>
      <c r="C330" s="8"/>
      <c r="D330" s="8"/>
      <c r="E330" s="11">
        <f>IF(AND(C330&lt;&gt;"",C330=C329),"Ligne 1 : même médecin deux jours de suite. ","")&amp;IF(AND(D330&lt;&gt;"",D330=D329),"Ligne 2 : même médecin deux jours de suite. ","")&amp;IF(AND(C330&lt;&gt;"",C330=D330),"Même médecin sur les deux lignes. ","")&amp;IF(AND(C330&lt;&gt;"",COUNTIFS(AbsMed,C330,AbsDu,"&lt;="&amp;A330,AbsAu,"&gt;="&amp;A330)&gt;0),C330&amp;" absent. ","")&amp;IF(AND(D330&lt;&gt;"",COUNTIFS(AbsMed,D330,AbsDu,"&lt;="&amp;A330,AbsAu,"&gt;="&amp;A330)&gt;0),D330&amp;" absent. ","")</f>
        <v>0</v>
      </c>
    </row>
    <row r="331" spans="1:5">
      <c r="A331" s="10">
        <f>Debut+329</f>
        <v>2027-11-26 00:00:00</v>
      </c>
      <c r="B331" s="6">
        <f>IF(COUNTIF(Feries,A331)&gt;0,"Férié",IF(WEEKDAY(A331,2)=6,"Samedi",IF(WEEKDAY(A331,2)=7,"Dimanche","Semaine")))</f>
        <v>0</v>
      </c>
      <c r="C331" s="8"/>
      <c r="D331" s="8"/>
      <c r="E331" s="11">
        <f>IF(AND(C331&lt;&gt;"",C331=C330),"Ligne 1 : même médecin deux jours de suite. ","")&amp;IF(AND(D331&lt;&gt;"",D331=D330),"Ligne 2 : même médecin deux jours de suite. ","")&amp;IF(AND(C331&lt;&gt;"",C331=D331),"Même médecin sur les deux lignes. ","")&amp;IF(AND(C331&lt;&gt;"",COUNTIFS(AbsMed,C331,AbsDu,"&lt;="&amp;A331,AbsAu,"&gt;="&amp;A331)&gt;0),C331&amp;" absent. ","")&amp;IF(AND(D331&lt;&gt;"",COUNTIFS(AbsMed,D331,AbsDu,"&lt;="&amp;A331,AbsAu,"&gt;="&amp;A331)&gt;0),D331&amp;" absent. ","")</f>
        <v>0</v>
      </c>
    </row>
    <row r="332" spans="1:5">
      <c r="A332" s="10">
        <f>Debut+330</f>
        <v>2027-11-27 00:00:00</v>
      </c>
      <c r="B332" s="6">
        <f>IF(COUNTIF(Feries,A332)&gt;0,"Férié",IF(WEEKDAY(A332,2)=6,"Samedi",IF(WEEKDAY(A332,2)=7,"Dimanche","Semaine")))</f>
        <v>0</v>
      </c>
      <c r="C332" s="8"/>
      <c r="D332" s="8"/>
      <c r="E332" s="11">
        <f>IF(AND(C332&lt;&gt;"",C332=C331),"Ligne 1 : même médecin deux jours de suite. ","")&amp;IF(AND(D332&lt;&gt;"",D332=D331),"Ligne 2 : même médecin deux jours de suite. ","")&amp;IF(AND(C332&lt;&gt;"",C332=D332),"Même médecin sur les deux lignes. ","")&amp;IF(AND(C332&lt;&gt;"",COUNTIFS(AbsMed,C332,AbsDu,"&lt;="&amp;A332,AbsAu,"&gt;="&amp;A332)&gt;0),C332&amp;" absent. ","")&amp;IF(AND(D332&lt;&gt;"",COUNTIFS(AbsMed,D332,AbsDu,"&lt;="&amp;A332,AbsAu,"&gt;="&amp;A332)&gt;0),D332&amp;" absent. ","")</f>
        <v>0</v>
      </c>
    </row>
    <row r="333" spans="1:5">
      <c r="A333" s="10">
        <f>Debut+331</f>
        <v>2027-11-28 00:00:00</v>
      </c>
      <c r="B333" s="6">
        <f>IF(COUNTIF(Feries,A333)&gt;0,"Férié",IF(WEEKDAY(A333,2)=6,"Samedi",IF(WEEKDAY(A333,2)=7,"Dimanche","Semaine")))</f>
        <v>0</v>
      </c>
      <c r="C333" s="8"/>
      <c r="D333" s="8"/>
      <c r="E333" s="11">
        <f>IF(AND(C333&lt;&gt;"",C333=C332),"Ligne 1 : même médecin deux jours de suite. ","")&amp;IF(AND(D333&lt;&gt;"",D333=D332),"Ligne 2 : même médecin deux jours de suite. ","")&amp;IF(AND(C333&lt;&gt;"",C333=D333),"Même médecin sur les deux lignes. ","")&amp;IF(AND(C333&lt;&gt;"",COUNTIFS(AbsMed,C333,AbsDu,"&lt;="&amp;A333,AbsAu,"&gt;="&amp;A333)&gt;0),C333&amp;" absent. ","")&amp;IF(AND(D333&lt;&gt;"",COUNTIFS(AbsMed,D333,AbsDu,"&lt;="&amp;A333,AbsAu,"&gt;="&amp;A333)&gt;0),D333&amp;" absent. ","")</f>
        <v>0</v>
      </c>
    </row>
    <row r="334" spans="1:5">
      <c r="A334" s="10">
        <f>Debut+332</f>
        <v>2027-11-29 00:00:00</v>
      </c>
      <c r="B334" s="6">
        <f>IF(COUNTIF(Feries,A334)&gt;0,"Férié",IF(WEEKDAY(A334,2)=6,"Samedi",IF(WEEKDAY(A334,2)=7,"Dimanche","Semaine")))</f>
        <v>0</v>
      </c>
      <c r="C334" s="8"/>
      <c r="D334" s="8"/>
      <c r="E334" s="11">
        <f>IF(AND(C334&lt;&gt;"",C334=C333),"Ligne 1 : même médecin deux jours de suite. ","")&amp;IF(AND(D334&lt;&gt;"",D334=D333),"Ligne 2 : même médecin deux jours de suite. ","")&amp;IF(AND(C334&lt;&gt;"",C334=D334),"Même médecin sur les deux lignes. ","")&amp;IF(AND(C334&lt;&gt;"",COUNTIFS(AbsMed,C334,AbsDu,"&lt;="&amp;A334,AbsAu,"&gt;="&amp;A334)&gt;0),C334&amp;" absent. ","")&amp;IF(AND(D334&lt;&gt;"",COUNTIFS(AbsMed,D334,AbsDu,"&lt;="&amp;A334,AbsAu,"&gt;="&amp;A334)&gt;0),D334&amp;" absent. ","")</f>
        <v>0</v>
      </c>
    </row>
    <row r="335" spans="1:5">
      <c r="A335" s="10">
        <f>Debut+333</f>
        <v>2027-11-30 00:00:00</v>
      </c>
      <c r="B335" s="6">
        <f>IF(COUNTIF(Feries,A335)&gt;0,"Férié",IF(WEEKDAY(A335,2)=6,"Samedi",IF(WEEKDAY(A335,2)=7,"Dimanche","Semaine")))</f>
        <v>0</v>
      </c>
      <c r="C335" s="8"/>
      <c r="D335" s="8"/>
      <c r="E335" s="11">
        <f>IF(AND(C335&lt;&gt;"",C335=C334),"Ligne 1 : même médecin deux jours de suite. ","")&amp;IF(AND(D335&lt;&gt;"",D335=D334),"Ligne 2 : même médecin deux jours de suite. ","")&amp;IF(AND(C335&lt;&gt;"",C335=D335),"Même médecin sur les deux lignes. ","")&amp;IF(AND(C335&lt;&gt;"",COUNTIFS(AbsMed,C335,AbsDu,"&lt;="&amp;A335,AbsAu,"&gt;="&amp;A335)&gt;0),C335&amp;" absent. ","")&amp;IF(AND(D335&lt;&gt;"",COUNTIFS(AbsMed,D335,AbsDu,"&lt;="&amp;A335,AbsAu,"&gt;="&amp;A335)&gt;0),D335&amp;" absent. ","")</f>
        <v>0</v>
      </c>
    </row>
    <row r="336" spans="1:5">
      <c r="A336" s="10">
        <f>Debut+334</f>
        <v>2027-12-01 00:00:00</v>
      </c>
      <c r="B336" s="6">
        <f>IF(COUNTIF(Feries,A336)&gt;0,"Férié",IF(WEEKDAY(A336,2)=6,"Samedi",IF(WEEKDAY(A336,2)=7,"Dimanche","Semaine")))</f>
        <v>0</v>
      </c>
      <c r="C336" s="8"/>
      <c r="D336" s="8"/>
      <c r="E336" s="11">
        <f>IF(AND(C336&lt;&gt;"",C336=C335),"Ligne 1 : même médecin deux jours de suite. ","")&amp;IF(AND(D336&lt;&gt;"",D336=D335),"Ligne 2 : même médecin deux jours de suite. ","")&amp;IF(AND(C336&lt;&gt;"",C336=D336),"Même médecin sur les deux lignes. ","")&amp;IF(AND(C336&lt;&gt;"",COUNTIFS(AbsMed,C336,AbsDu,"&lt;="&amp;A336,AbsAu,"&gt;="&amp;A336)&gt;0),C336&amp;" absent. ","")&amp;IF(AND(D336&lt;&gt;"",COUNTIFS(AbsMed,D336,AbsDu,"&lt;="&amp;A336,AbsAu,"&gt;="&amp;A336)&gt;0),D336&amp;" absent. ","")</f>
        <v>0</v>
      </c>
    </row>
    <row r="337" spans="1:5">
      <c r="A337" s="10">
        <f>Debut+335</f>
        <v>2027-12-02 00:00:00</v>
      </c>
      <c r="B337" s="6">
        <f>IF(COUNTIF(Feries,A337)&gt;0,"Férié",IF(WEEKDAY(A337,2)=6,"Samedi",IF(WEEKDAY(A337,2)=7,"Dimanche","Semaine")))</f>
        <v>0</v>
      </c>
      <c r="C337" s="8"/>
      <c r="D337" s="8"/>
      <c r="E337" s="11">
        <f>IF(AND(C337&lt;&gt;"",C337=C336),"Ligne 1 : même médecin deux jours de suite. ","")&amp;IF(AND(D337&lt;&gt;"",D337=D336),"Ligne 2 : même médecin deux jours de suite. ","")&amp;IF(AND(C337&lt;&gt;"",C337=D337),"Même médecin sur les deux lignes. ","")&amp;IF(AND(C337&lt;&gt;"",COUNTIFS(AbsMed,C337,AbsDu,"&lt;="&amp;A337,AbsAu,"&gt;="&amp;A337)&gt;0),C337&amp;" absent. ","")&amp;IF(AND(D337&lt;&gt;"",COUNTIFS(AbsMed,D337,AbsDu,"&lt;="&amp;A337,AbsAu,"&gt;="&amp;A337)&gt;0),D337&amp;" absent. ","")</f>
        <v>0</v>
      </c>
    </row>
    <row r="338" spans="1:5">
      <c r="A338" s="10">
        <f>Debut+336</f>
        <v>2027-12-03 00:00:00</v>
      </c>
      <c r="B338" s="6">
        <f>IF(COUNTIF(Feries,A338)&gt;0,"Férié",IF(WEEKDAY(A338,2)=6,"Samedi",IF(WEEKDAY(A338,2)=7,"Dimanche","Semaine")))</f>
        <v>0</v>
      </c>
      <c r="C338" s="8"/>
      <c r="D338" s="8"/>
      <c r="E338" s="11">
        <f>IF(AND(C338&lt;&gt;"",C338=C337),"Ligne 1 : même médecin deux jours de suite. ","")&amp;IF(AND(D338&lt;&gt;"",D338=D337),"Ligne 2 : même médecin deux jours de suite. ","")&amp;IF(AND(C338&lt;&gt;"",C338=D338),"Même médecin sur les deux lignes. ","")&amp;IF(AND(C338&lt;&gt;"",COUNTIFS(AbsMed,C338,AbsDu,"&lt;="&amp;A338,AbsAu,"&gt;="&amp;A338)&gt;0),C338&amp;" absent. ","")&amp;IF(AND(D338&lt;&gt;"",COUNTIFS(AbsMed,D338,AbsDu,"&lt;="&amp;A338,AbsAu,"&gt;="&amp;A338)&gt;0),D338&amp;" absent. ","")</f>
        <v>0</v>
      </c>
    </row>
    <row r="339" spans="1:5">
      <c r="A339" s="10">
        <f>Debut+337</f>
        <v>2027-12-04 00:00:00</v>
      </c>
      <c r="B339" s="6">
        <f>IF(COUNTIF(Feries,A339)&gt;0,"Férié",IF(WEEKDAY(A339,2)=6,"Samedi",IF(WEEKDAY(A339,2)=7,"Dimanche","Semaine")))</f>
        <v>0</v>
      </c>
      <c r="C339" s="8"/>
      <c r="D339" s="8"/>
      <c r="E339" s="11">
        <f>IF(AND(C339&lt;&gt;"",C339=C338),"Ligne 1 : même médecin deux jours de suite. ","")&amp;IF(AND(D339&lt;&gt;"",D339=D338),"Ligne 2 : même médecin deux jours de suite. ","")&amp;IF(AND(C339&lt;&gt;"",C339=D339),"Même médecin sur les deux lignes. ","")&amp;IF(AND(C339&lt;&gt;"",COUNTIFS(AbsMed,C339,AbsDu,"&lt;="&amp;A339,AbsAu,"&gt;="&amp;A339)&gt;0),C339&amp;" absent. ","")&amp;IF(AND(D339&lt;&gt;"",COUNTIFS(AbsMed,D339,AbsDu,"&lt;="&amp;A339,AbsAu,"&gt;="&amp;A339)&gt;0),D339&amp;" absent. ","")</f>
        <v>0</v>
      </c>
    </row>
    <row r="340" spans="1:5">
      <c r="A340" s="10">
        <f>Debut+338</f>
        <v>2027-12-05 00:00:00</v>
      </c>
      <c r="B340" s="6">
        <f>IF(COUNTIF(Feries,A340)&gt;0,"Férié",IF(WEEKDAY(A340,2)=6,"Samedi",IF(WEEKDAY(A340,2)=7,"Dimanche","Semaine")))</f>
        <v>0</v>
      </c>
      <c r="C340" s="8"/>
      <c r="D340" s="8"/>
      <c r="E340" s="11">
        <f>IF(AND(C340&lt;&gt;"",C340=C339),"Ligne 1 : même médecin deux jours de suite. ","")&amp;IF(AND(D340&lt;&gt;"",D340=D339),"Ligne 2 : même médecin deux jours de suite. ","")&amp;IF(AND(C340&lt;&gt;"",C340=D340),"Même médecin sur les deux lignes. ","")&amp;IF(AND(C340&lt;&gt;"",COUNTIFS(AbsMed,C340,AbsDu,"&lt;="&amp;A340,AbsAu,"&gt;="&amp;A340)&gt;0),C340&amp;" absent. ","")&amp;IF(AND(D340&lt;&gt;"",COUNTIFS(AbsMed,D340,AbsDu,"&lt;="&amp;A340,AbsAu,"&gt;="&amp;A340)&gt;0),D340&amp;" absent. ","")</f>
        <v>0</v>
      </c>
    </row>
    <row r="341" spans="1:5">
      <c r="A341" s="10">
        <f>Debut+339</f>
        <v>2027-12-06 00:00:00</v>
      </c>
      <c r="B341" s="6">
        <f>IF(COUNTIF(Feries,A341)&gt;0,"Férié",IF(WEEKDAY(A341,2)=6,"Samedi",IF(WEEKDAY(A341,2)=7,"Dimanche","Semaine")))</f>
        <v>0</v>
      </c>
      <c r="C341" s="8"/>
      <c r="D341" s="8"/>
      <c r="E341" s="11">
        <f>IF(AND(C341&lt;&gt;"",C341=C340),"Ligne 1 : même médecin deux jours de suite. ","")&amp;IF(AND(D341&lt;&gt;"",D341=D340),"Ligne 2 : même médecin deux jours de suite. ","")&amp;IF(AND(C341&lt;&gt;"",C341=D341),"Même médecin sur les deux lignes. ","")&amp;IF(AND(C341&lt;&gt;"",COUNTIFS(AbsMed,C341,AbsDu,"&lt;="&amp;A341,AbsAu,"&gt;="&amp;A341)&gt;0),C341&amp;" absent. ","")&amp;IF(AND(D341&lt;&gt;"",COUNTIFS(AbsMed,D341,AbsDu,"&lt;="&amp;A341,AbsAu,"&gt;="&amp;A341)&gt;0),D341&amp;" absent. ","")</f>
        <v>0</v>
      </c>
    </row>
    <row r="342" spans="1:5">
      <c r="A342" s="10">
        <f>Debut+340</f>
        <v>2027-12-07 00:00:00</v>
      </c>
      <c r="B342" s="6">
        <f>IF(COUNTIF(Feries,A342)&gt;0,"Férié",IF(WEEKDAY(A342,2)=6,"Samedi",IF(WEEKDAY(A342,2)=7,"Dimanche","Semaine")))</f>
        <v>0</v>
      </c>
      <c r="C342" s="8"/>
      <c r="D342" s="8"/>
      <c r="E342" s="11">
        <f>IF(AND(C342&lt;&gt;"",C342=C341),"Ligne 1 : même médecin deux jours de suite. ","")&amp;IF(AND(D342&lt;&gt;"",D342=D341),"Ligne 2 : même médecin deux jours de suite. ","")&amp;IF(AND(C342&lt;&gt;"",C342=D342),"Même médecin sur les deux lignes. ","")&amp;IF(AND(C342&lt;&gt;"",COUNTIFS(AbsMed,C342,AbsDu,"&lt;="&amp;A342,AbsAu,"&gt;="&amp;A342)&gt;0),C342&amp;" absent. ","")&amp;IF(AND(D342&lt;&gt;"",COUNTIFS(AbsMed,D342,AbsDu,"&lt;="&amp;A342,AbsAu,"&gt;="&amp;A342)&gt;0),D342&amp;" absent. ","")</f>
        <v>0</v>
      </c>
    </row>
    <row r="343" spans="1:5">
      <c r="A343" s="10">
        <f>Debut+341</f>
        <v>2027-12-08 00:00:00</v>
      </c>
      <c r="B343" s="6">
        <f>IF(COUNTIF(Feries,A343)&gt;0,"Férié",IF(WEEKDAY(A343,2)=6,"Samedi",IF(WEEKDAY(A343,2)=7,"Dimanche","Semaine")))</f>
        <v>0</v>
      </c>
      <c r="C343" s="8"/>
      <c r="D343" s="8"/>
      <c r="E343" s="11">
        <f>IF(AND(C343&lt;&gt;"",C343=C342),"Ligne 1 : même médecin deux jours de suite. ","")&amp;IF(AND(D343&lt;&gt;"",D343=D342),"Ligne 2 : même médecin deux jours de suite. ","")&amp;IF(AND(C343&lt;&gt;"",C343=D343),"Même médecin sur les deux lignes. ","")&amp;IF(AND(C343&lt;&gt;"",COUNTIFS(AbsMed,C343,AbsDu,"&lt;="&amp;A343,AbsAu,"&gt;="&amp;A343)&gt;0),C343&amp;" absent. ","")&amp;IF(AND(D343&lt;&gt;"",COUNTIFS(AbsMed,D343,AbsDu,"&lt;="&amp;A343,AbsAu,"&gt;="&amp;A343)&gt;0),D343&amp;" absent. ","")</f>
        <v>0</v>
      </c>
    </row>
    <row r="344" spans="1:5">
      <c r="A344" s="10">
        <f>Debut+342</f>
        <v>2027-12-09 00:00:00</v>
      </c>
      <c r="B344" s="6">
        <f>IF(COUNTIF(Feries,A344)&gt;0,"Férié",IF(WEEKDAY(A344,2)=6,"Samedi",IF(WEEKDAY(A344,2)=7,"Dimanche","Semaine")))</f>
        <v>0</v>
      </c>
      <c r="C344" s="8"/>
      <c r="D344" s="8"/>
      <c r="E344" s="11">
        <f>IF(AND(C344&lt;&gt;"",C344=C343),"Ligne 1 : même médecin deux jours de suite. ","")&amp;IF(AND(D344&lt;&gt;"",D344=D343),"Ligne 2 : même médecin deux jours de suite. ","")&amp;IF(AND(C344&lt;&gt;"",C344=D344),"Même médecin sur les deux lignes. ","")&amp;IF(AND(C344&lt;&gt;"",COUNTIFS(AbsMed,C344,AbsDu,"&lt;="&amp;A344,AbsAu,"&gt;="&amp;A344)&gt;0),C344&amp;" absent. ","")&amp;IF(AND(D344&lt;&gt;"",COUNTIFS(AbsMed,D344,AbsDu,"&lt;="&amp;A344,AbsAu,"&gt;="&amp;A344)&gt;0),D344&amp;" absent. ","")</f>
        <v>0</v>
      </c>
    </row>
    <row r="345" spans="1:5">
      <c r="A345" s="10">
        <f>Debut+343</f>
        <v>2027-12-10 00:00:00</v>
      </c>
      <c r="B345" s="6">
        <f>IF(COUNTIF(Feries,A345)&gt;0,"Férié",IF(WEEKDAY(A345,2)=6,"Samedi",IF(WEEKDAY(A345,2)=7,"Dimanche","Semaine")))</f>
        <v>0</v>
      </c>
      <c r="C345" s="8"/>
      <c r="D345" s="8"/>
      <c r="E345" s="11">
        <f>IF(AND(C345&lt;&gt;"",C345=C344),"Ligne 1 : même médecin deux jours de suite. ","")&amp;IF(AND(D345&lt;&gt;"",D345=D344),"Ligne 2 : même médecin deux jours de suite. ","")&amp;IF(AND(C345&lt;&gt;"",C345=D345),"Même médecin sur les deux lignes. ","")&amp;IF(AND(C345&lt;&gt;"",COUNTIFS(AbsMed,C345,AbsDu,"&lt;="&amp;A345,AbsAu,"&gt;="&amp;A345)&gt;0),C345&amp;" absent. ","")&amp;IF(AND(D345&lt;&gt;"",COUNTIFS(AbsMed,D345,AbsDu,"&lt;="&amp;A345,AbsAu,"&gt;="&amp;A345)&gt;0),D345&amp;" absent. ","")</f>
        <v>0</v>
      </c>
    </row>
    <row r="346" spans="1:5">
      <c r="A346" s="10">
        <f>Debut+344</f>
        <v>2027-12-11 00:00:00</v>
      </c>
      <c r="B346" s="6">
        <f>IF(COUNTIF(Feries,A346)&gt;0,"Férié",IF(WEEKDAY(A346,2)=6,"Samedi",IF(WEEKDAY(A346,2)=7,"Dimanche","Semaine")))</f>
        <v>0</v>
      </c>
      <c r="C346" s="8"/>
      <c r="D346" s="8"/>
      <c r="E346" s="11">
        <f>IF(AND(C346&lt;&gt;"",C346=C345),"Ligne 1 : même médecin deux jours de suite. ","")&amp;IF(AND(D346&lt;&gt;"",D346=D345),"Ligne 2 : même médecin deux jours de suite. ","")&amp;IF(AND(C346&lt;&gt;"",C346=D346),"Même médecin sur les deux lignes. ","")&amp;IF(AND(C346&lt;&gt;"",COUNTIFS(AbsMed,C346,AbsDu,"&lt;="&amp;A346,AbsAu,"&gt;="&amp;A346)&gt;0),C346&amp;" absent. ","")&amp;IF(AND(D346&lt;&gt;"",COUNTIFS(AbsMed,D346,AbsDu,"&lt;="&amp;A346,AbsAu,"&gt;="&amp;A346)&gt;0),D346&amp;" absent. ","")</f>
        <v>0</v>
      </c>
    </row>
    <row r="347" spans="1:5">
      <c r="A347" s="10">
        <f>Debut+345</f>
        <v>2027-12-12 00:00:00</v>
      </c>
      <c r="B347" s="6">
        <f>IF(COUNTIF(Feries,A347)&gt;0,"Férié",IF(WEEKDAY(A347,2)=6,"Samedi",IF(WEEKDAY(A347,2)=7,"Dimanche","Semaine")))</f>
        <v>0</v>
      </c>
      <c r="C347" s="8"/>
      <c r="D347" s="8"/>
      <c r="E347" s="11">
        <f>IF(AND(C347&lt;&gt;"",C347=C346),"Ligne 1 : même médecin deux jours de suite. ","")&amp;IF(AND(D347&lt;&gt;"",D347=D346),"Ligne 2 : même médecin deux jours de suite. ","")&amp;IF(AND(C347&lt;&gt;"",C347=D347),"Même médecin sur les deux lignes. ","")&amp;IF(AND(C347&lt;&gt;"",COUNTIFS(AbsMed,C347,AbsDu,"&lt;="&amp;A347,AbsAu,"&gt;="&amp;A347)&gt;0),C347&amp;" absent. ","")&amp;IF(AND(D347&lt;&gt;"",COUNTIFS(AbsMed,D347,AbsDu,"&lt;="&amp;A347,AbsAu,"&gt;="&amp;A347)&gt;0),D347&amp;" absent. ","")</f>
        <v>0</v>
      </c>
    </row>
    <row r="348" spans="1:5">
      <c r="A348" s="10">
        <f>Debut+346</f>
        <v>2027-12-13 00:00:00</v>
      </c>
      <c r="B348" s="6">
        <f>IF(COUNTIF(Feries,A348)&gt;0,"Férié",IF(WEEKDAY(A348,2)=6,"Samedi",IF(WEEKDAY(A348,2)=7,"Dimanche","Semaine")))</f>
        <v>0</v>
      </c>
      <c r="C348" s="8"/>
      <c r="D348" s="8"/>
      <c r="E348" s="11">
        <f>IF(AND(C348&lt;&gt;"",C348=C347),"Ligne 1 : même médecin deux jours de suite. ","")&amp;IF(AND(D348&lt;&gt;"",D348=D347),"Ligne 2 : même médecin deux jours de suite. ","")&amp;IF(AND(C348&lt;&gt;"",C348=D348),"Même médecin sur les deux lignes. ","")&amp;IF(AND(C348&lt;&gt;"",COUNTIFS(AbsMed,C348,AbsDu,"&lt;="&amp;A348,AbsAu,"&gt;="&amp;A348)&gt;0),C348&amp;" absent. ","")&amp;IF(AND(D348&lt;&gt;"",COUNTIFS(AbsMed,D348,AbsDu,"&lt;="&amp;A348,AbsAu,"&gt;="&amp;A348)&gt;0),D348&amp;" absent. ","")</f>
        <v>0</v>
      </c>
    </row>
    <row r="349" spans="1:5">
      <c r="A349" s="10">
        <f>Debut+347</f>
        <v>2027-12-14 00:00:00</v>
      </c>
      <c r="B349" s="6">
        <f>IF(COUNTIF(Feries,A349)&gt;0,"Férié",IF(WEEKDAY(A349,2)=6,"Samedi",IF(WEEKDAY(A349,2)=7,"Dimanche","Semaine")))</f>
        <v>0</v>
      </c>
      <c r="C349" s="8"/>
      <c r="D349" s="8"/>
      <c r="E349" s="11">
        <f>IF(AND(C349&lt;&gt;"",C349=C348),"Ligne 1 : même médecin deux jours de suite. ","")&amp;IF(AND(D349&lt;&gt;"",D349=D348),"Ligne 2 : même médecin deux jours de suite. ","")&amp;IF(AND(C349&lt;&gt;"",C349=D349),"Même médecin sur les deux lignes. ","")&amp;IF(AND(C349&lt;&gt;"",COUNTIFS(AbsMed,C349,AbsDu,"&lt;="&amp;A349,AbsAu,"&gt;="&amp;A349)&gt;0),C349&amp;" absent. ","")&amp;IF(AND(D349&lt;&gt;"",COUNTIFS(AbsMed,D349,AbsDu,"&lt;="&amp;A349,AbsAu,"&gt;="&amp;A349)&gt;0),D349&amp;" absent. ","")</f>
        <v>0</v>
      </c>
    </row>
    <row r="350" spans="1:5">
      <c r="A350" s="10">
        <f>Debut+348</f>
        <v>2027-12-15 00:00:00</v>
      </c>
      <c r="B350" s="6">
        <f>IF(COUNTIF(Feries,A350)&gt;0,"Férié",IF(WEEKDAY(A350,2)=6,"Samedi",IF(WEEKDAY(A350,2)=7,"Dimanche","Semaine")))</f>
        <v>0</v>
      </c>
      <c r="C350" s="8"/>
      <c r="D350" s="8"/>
      <c r="E350" s="11">
        <f>IF(AND(C350&lt;&gt;"",C350=C349),"Ligne 1 : même médecin deux jours de suite. ","")&amp;IF(AND(D350&lt;&gt;"",D350=D349),"Ligne 2 : même médecin deux jours de suite. ","")&amp;IF(AND(C350&lt;&gt;"",C350=D350),"Même médecin sur les deux lignes. ","")&amp;IF(AND(C350&lt;&gt;"",COUNTIFS(AbsMed,C350,AbsDu,"&lt;="&amp;A350,AbsAu,"&gt;="&amp;A350)&gt;0),C350&amp;" absent. ","")&amp;IF(AND(D350&lt;&gt;"",COUNTIFS(AbsMed,D350,AbsDu,"&lt;="&amp;A350,AbsAu,"&gt;="&amp;A350)&gt;0),D350&amp;" absent. ","")</f>
        <v>0</v>
      </c>
    </row>
    <row r="351" spans="1:5">
      <c r="A351" s="10">
        <f>Debut+349</f>
        <v>2027-12-16 00:00:00</v>
      </c>
      <c r="B351" s="6">
        <f>IF(COUNTIF(Feries,A351)&gt;0,"Férié",IF(WEEKDAY(A351,2)=6,"Samedi",IF(WEEKDAY(A351,2)=7,"Dimanche","Semaine")))</f>
        <v>0</v>
      </c>
      <c r="C351" s="8"/>
      <c r="D351" s="8"/>
      <c r="E351" s="11">
        <f>IF(AND(C351&lt;&gt;"",C351=C350),"Ligne 1 : même médecin deux jours de suite. ","")&amp;IF(AND(D351&lt;&gt;"",D351=D350),"Ligne 2 : même médecin deux jours de suite. ","")&amp;IF(AND(C351&lt;&gt;"",C351=D351),"Même médecin sur les deux lignes. ","")&amp;IF(AND(C351&lt;&gt;"",COUNTIFS(AbsMed,C351,AbsDu,"&lt;="&amp;A351,AbsAu,"&gt;="&amp;A351)&gt;0),C351&amp;" absent. ","")&amp;IF(AND(D351&lt;&gt;"",COUNTIFS(AbsMed,D351,AbsDu,"&lt;="&amp;A351,AbsAu,"&gt;="&amp;A351)&gt;0),D351&amp;" absent. ","")</f>
        <v>0</v>
      </c>
    </row>
    <row r="352" spans="1:5">
      <c r="A352" s="10">
        <f>Debut+350</f>
        <v>2027-12-17 00:00:00</v>
      </c>
      <c r="B352" s="6">
        <f>IF(COUNTIF(Feries,A352)&gt;0,"Férié",IF(WEEKDAY(A352,2)=6,"Samedi",IF(WEEKDAY(A352,2)=7,"Dimanche","Semaine")))</f>
        <v>0</v>
      </c>
      <c r="C352" s="8"/>
      <c r="D352" s="8"/>
      <c r="E352" s="11">
        <f>IF(AND(C352&lt;&gt;"",C352=C351),"Ligne 1 : même médecin deux jours de suite. ","")&amp;IF(AND(D352&lt;&gt;"",D352=D351),"Ligne 2 : même médecin deux jours de suite. ","")&amp;IF(AND(C352&lt;&gt;"",C352=D352),"Même médecin sur les deux lignes. ","")&amp;IF(AND(C352&lt;&gt;"",COUNTIFS(AbsMed,C352,AbsDu,"&lt;="&amp;A352,AbsAu,"&gt;="&amp;A352)&gt;0),C352&amp;" absent. ","")&amp;IF(AND(D352&lt;&gt;"",COUNTIFS(AbsMed,D352,AbsDu,"&lt;="&amp;A352,AbsAu,"&gt;="&amp;A352)&gt;0),D352&amp;" absent. ","")</f>
        <v>0</v>
      </c>
    </row>
    <row r="353" spans="1:5">
      <c r="A353" s="10">
        <f>Debut+351</f>
        <v>2027-12-18 00:00:00</v>
      </c>
      <c r="B353" s="6">
        <f>IF(COUNTIF(Feries,A353)&gt;0,"Férié",IF(WEEKDAY(A353,2)=6,"Samedi",IF(WEEKDAY(A353,2)=7,"Dimanche","Semaine")))</f>
        <v>0</v>
      </c>
      <c r="C353" s="8"/>
      <c r="D353" s="8"/>
      <c r="E353" s="11">
        <f>IF(AND(C353&lt;&gt;"",C353=C352),"Ligne 1 : même médecin deux jours de suite. ","")&amp;IF(AND(D353&lt;&gt;"",D353=D352),"Ligne 2 : même médecin deux jours de suite. ","")&amp;IF(AND(C353&lt;&gt;"",C353=D353),"Même médecin sur les deux lignes. ","")&amp;IF(AND(C353&lt;&gt;"",COUNTIFS(AbsMed,C353,AbsDu,"&lt;="&amp;A353,AbsAu,"&gt;="&amp;A353)&gt;0),C353&amp;" absent. ","")&amp;IF(AND(D353&lt;&gt;"",COUNTIFS(AbsMed,D353,AbsDu,"&lt;="&amp;A353,AbsAu,"&gt;="&amp;A353)&gt;0),D353&amp;" absent. ","")</f>
        <v>0</v>
      </c>
    </row>
    <row r="354" spans="1:5">
      <c r="A354" s="10">
        <f>Debut+352</f>
        <v>2027-12-19 00:00:00</v>
      </c>
      <c r="B354" s="6">
        <f>IF(COUNTIF(Feries,A354)&gt;0,"Férié",IF(WEEKDAY(A354,2)=6,"Samedi",IF(WEEKDAY(A354,2)=7,"Dimanche","Semaine")))</f>
        <v>0</v>
      </c>
      <c r="C354" s="8"/>
      <c r="D354" s="8"/>
      <c r="E354" s="11">
        <f>IF(AND(C354&lt;&gt;"",C354=C353),"Ligne 1 : même médecin deux jours de suite. ","")&amp;IF(AND(D354&lt;&gt;"",D354=D353),"Ligne 2 : même médecin deux jours de suite. ","")&amp;IF(AND(C354&lt;&gt;"",C354=D354),"Même médecin sur les deux lignes. ","")&amp;IF(AND(C354&lt;&gt;"",COUNTIFS(AbsMed,C354,AbsDu,"&lt;="&amp;A354,AbsAu,"&gt;="&amp;A354)&gt;0),C354&amp;" absent. ","")&amp;IF(AND(D354&lt;&gt;"",COUNTIFS(AbsMed,D354,AbsDu,"&lt;="&amp;A354,AbsAu,"&gt;="&amp;A354)&gt;0),D354&amp;" absent. ","")</f>
        <v>0</v>
      </c>
    </row>
    <row r="355" spans="1:5">
      <c r="A355" s="10">
        <f>Debut+353</f>
        <v>2027-12-20 00:00:00</v>
      </c>
      <c r="B355" s="6">
        <f>IF(COUNTIF(Feries,A355)&gt;0,"Férié",IF(WEEKDAY(A355,2)=6,"Samedi",IF(WEEKDAY(A355,2)=7,"Dimanche","Semaine")))</f>
        <v>0</v>
      </c>
      <c r="C355" s="8"/>
      <c r="D355" s="8"/>
      <c r="E355" s="11">
        <f>IF(AND(C355&lt;&gt;"",C355=C354),"Ligne 1 : même médecin deux jours de suite. ","")&amp;IF(AND(D355&lt;&gt;"",D355=D354),"Ligne 2 : même médecin deux jours de suite. ","")&amp;IF(AND(C355&lt;&gt;"",C355=D355),"Même médecin sur les deux lignes. ","")&amp;IF(AND(C355&lt;&gt;"",COUNTIFS(AbsMed,C355,AbsDu,"&lt;="&amp;A355,AbsAu,"&gt;="&amp;A355)&gt;0),C355&amp;" absent. ","")&amp;IF(AND(D355&lt;&gt;"",COUNTIFS(AbsMed,D355,AbsDu,"&lt;="&amp;A355,AbsAu,"&gt;="&amp;A355)&gt;0),D355&amp;" absent. ","")</f>
        <v>0</v>
      </c>
    </row>
    <row r="356" spans="1:5">
      <c r="A356" s="10">
        <f>Debut+354</f>
        <v>2027-12-21 00:00:00</v>
      </c>
      <c r="B356" s="6">
        <f>IF(COUNTIF(Feries,A356)&gt;0,"Férié",IF(WEEKDAY(A356,2)=6,"Samedi",IF(WEEKDAY(A356,2)=7,"Dimanche","Semaine")))</f>
        <v>0</v>
      </c>
      <c r="C356" s="8"/>
      <c r="D356" s="8"/>
      <c r="E356" s="11">
        <f>IF(AND(C356&lt;&gt;"",C356=C355),"Ligne 1 : même médecin deux jours de suite. ","")&amp;IF(AND(D356&lt;&gt;"",D356=D355),"Ligne 2 : même médecin deux jours de suite. ","")&amp;IF(AND(C356&lt;&gt;"",C356=D356),"Même médecin sur les deux lignes. ","")&amp;IF(AND(C356&lt;&gt;"",COUNTIFS(AbsMed,C356,AbsDu,"&lt;="&amp;A356,AbsAu,"&gt;="&amp;A356)&gt;0),C356&amp;" absent. ","")&amp;IF(AND(D356&lt;&gt;"",COUNTIFS(AbsMed,D356,AbsDu,"&lt;="&amp;A356,AbsAu,"&gt;="&amp;A356)&gt;0),D356&amp;" absent. ","")</f>
        <v>0</v>
      </c>
    </row>
    <row r="357" spans="1:5">
      <c r="A357" s="10">
        <f>Debut+355</f>
        <v>2027-12-22 00:00:00</v>
      </c>
      <c r="B357" s="6">
        <f>IF(COUNTIF(Feries,A357)&gt;0,"Férié",IF(WEEKDAY(A357,2)=6,"Samedi",IF(WEEKDAY(A357,2)=7,"Dimanche","Semaine")))</f>
        <v>0</v>
      </c>
      <c r="C357" s="8"/>
      <c r="D357" s="8"/>
      <c r="E357" s="11">
        <f>IF(AND(C357&lt;&gt;"",C357=C356),"Ligne 1 : même médecin deux jours de suite. ","")&amp;IF(AND(D357&lt;&gt;"",D357=D356),"Ligne 2 : même médecin deux jours de suite. ","")&amp;IF(AND(C357&lt;&gt;"",C357=D357),"Même médecin sur les deux lignes. ","")&amp;IF(AND(C357&lt;&gt;"",COUNTIFS(AbsMed,C357,AbsDu,"&lt;="&amp;A357,AbsAu,"&gt;="&amp;A357)&gt;0),C357&amp;" absent. ","")&amp;IF(AND(D357&lt;&gt;"",COUNTIFS(AbsMed,D357,AbsDu,"&lt;="&amp;A357,AbsAu,"&gt;="&amp;A357)&gt;0),D357&amp;" absent. ","")</f>
        <v>0</v>
      </c>
    </row>
    <row r="358" spans="1:5">
      <c r="A358" s="10">
        <f>Debut+356</f>
        <v>2027-12-23 00:00:00</v>
      </c>
      <c r="B358" s="6">
        <f>IF(COUNTIF(Feries,A358)&gt;0,"Férié",IF(WEEKDAY(A358,2)=6,"Samedi",IF(WEEKDAY(A358,2)=7,"Dimanche","Semaine")))</f>
        <v>0</v>
      </c>
      <c r="C358" s="8"/>
      <c r="D358" s="8"/>
      <c r="E358" s="11">
        <f>IF(AND(C358&lt;&gt;"",C358=C357),"Ligne 1 : même médecin deux jours de suite. ","")&amp;IF(AND(D358&lt;&gt;"",D358=D357),"Ligne 2 : même médecin deux jours de suite. ","")&amp;IF(AND(C358&lt;&gt;"",C358=D358),"Même médecin sur les deux lignes. ","")&amp;IF(AND(C358&lt;&gt;"",COUNTIFS(AbsMed,C358,AbsDu,"&lt;="&amp;A358,AbsAu,"&gt;="&amp;A358)&gt;0),C358&amp;" absent. ","")&amp;IF(AND(D358&lt;&gt;"",COUNTIFS(AbsMed,D358,AbsDu,"&lt;="&amp;A358,AbsAu,"&gt;="&amp;A358)&gt;0),D358&amp;" absent. ","")</f>
        <v>0</v>
      </c>
    </row>
    <row r="359" spans="1:5">
      <c r="A359" s="10">
        <f>Debut+357</f>
        <v>2027-12-24 00:00:00</v>
      </c>
      <c r="B359" s="6">
        <f>IF(COUNTIF(Feries,A359)&gt;0,"Férié",IF(WEEKDAY(A359,2)=6,"Samedi",IF(WEEKDAY(A359,2)=7,"Dimanche","Semaine")))</f>
        <v>0</v>
      </c>
      <c r="C359" s="8"/>
      <c r="D359" s="8"/>
      <c r="E359" s="11">
        <f>IF(AND(C359&lt;&gt;"",C359=C358),"Ligne 1 : même médecin deux jours de suite. ","")&amp;IF(AND(D359&lt;&gt;"",D359=D358),"Ligne 2 : même médecin deux jours de suite. ","")&amp;IF(AND(C359&lt;&gt;"",C359=D359),"Même médecin sur les deux lignes. ","")&amp;IF(AND(C359&lt;&gt;"",COUNTIFS(AbsMed,C359,AbsDu,"&lt;="&amp;A359,AbsAu,"&gt;="&amp;A359)&gt;0),C359&amp;" absent. ","")&amp;IF(AND(D359&lt;&gt;"",COUNTIFS(AbsMed,D359,AbsDu,"&lt;="&amp;A359,AbsAu,"&gt;="&amp;A359)&gt;0),D359&amp;" absent. ","")</f>
        <v>0</v>
      </c>
    </row>
    <row r="360" spans="1:5">
      <c r="A360" s="10">
        <f>Debut+358</f>
        <v>2027-12-25 00:00:00</v>
      </c>
      <c r="B360" s="6">
        <f>IF(COUNTIF(Feries,A360)&gt;0,"Férié",IF(WEEKDAY(A360,2)=6,"Samedi",IF(WEEKDAY(A360,2)=7,"Dimanche","Semaine")))</f>
        <v>0</v>
      </c>
      <c r="C360" s="8"/>
      <c r="D360" s="8"/>
      <c r="E360" s="11">
        <f>IF(AND(C360&lt;&gt;"",C360=C359),"Ligne 1 : même médecin deux jours de suite. ","")&amp;IF(AND(D360&lt;&gt;"",D360=D359),"Ligne 2 : même médecin deux jours de suite. ","")&amp;IF(AND(C360&lt;&gt;"",C360=D360),"Même médecin sur les deux lignes. ","")&amp;IF(AND(C360&lt;&gt;"",COUNTIFS(AbsMed,C360,AbsDu,"&lt;="&amp;A360,AbsAu,"&gt;="&amp;A360)&gt;0),C360&amp;" absent. ","")&amp;IF(AND(D360&lt;&gt;"",COUNTIFS(AbsMed,D360,AbsDu,"&lt;="&amp;A360,AbsAu,"&gt;="&amp;A360)&gt;0),D360&amp;" absent. ","")</f>
        <v>0</v>
      </c>
    </row>
    <row r="361" spans="1:5">
      <c r="A361" s="10">
        <f>Debut+359</f>
        <v>2027-12-26 00:00:00</v>
      </c>
      <c r="B361" s="6">
        <f>IF(COUNTIF(Feries,A361)&gt;0,"Férié",IF(WEEKDAY(A361,2)=6,"Samedi",IF(WEEKDAY(A361,2)=7,"Dimanche","Semaine")))</f>
        <v>0</v>
      </c>
      <c r="C361" s="8"/>
      <c r="D361" s="8"/>
      <c r="E361" s="11">
        <f>IF(AND(C361&lt;&gt;"",C361=C360),"Ligne 1 : même médecin deux jours de suite. ","")&amp;IF(AND(D361&lt;&gt;"",D361=D360),"Ligne 2 : même médecin deux jours de suite. ","")&amp;IF(AND(C361&lt;&gt;"",C361=D361),"Même médecin sur les deux lignes. ","")&amp;IF(AND(C361&lt;&gt;"",COUNTIFS(AbsMed,C361,AbsDu,"&lt;="&amp;A361,AbsAu,"&gt;="&amp;A361)&gt;0),C361&amp;" absent. ","")&amp;IF(AND(D361&lt;&gt;"",COUNTIFS(AbsMed,D361,AbsDu,"&lt;="&amp;A361,AbsAu,"&gt;="&amp;A361)&gt;0),D361&amp;" absent. ","")</f>
        <v>0</v>
      </c>
    </row>
    <row r="362" spans="1:5">
      <c r="A362" s="10">
        <f>Debut+360</f>
        <v>2027-12-27 00:00:00</v>
      </c>
      <c r="B362" s="6">
        <f>IF(COUNTIF(Feries,A362)&gt;0,"Férié",IF(WEEKDAY(A362,2)=6,"Samedi",IF(WEEKDAY(A362,2)=7,"Dimanche","Semaine")))</f>
        <v>0</v>
      </c>
      <c r="C362" s="8"/>
      <c r="D362" s="8"/>
      <c r="E362" s="11">
        <f>IF(AND(C362&lt;&gt;"",C362=C361),"Ligne 1 : même médecin deux jours de suite. ","")&amp;IF(AND(D362&lt;&gt;"",D362=D361),"Ligne 2 : même médecin deux jours de suite. ","")&amp;IF(AND(C362&lt;&gt;"",C362=D362),"Même médecin sur les deux lignes. ","")&amp;IF(AND(C362&lt;&gt;"",COUNTIFS(AbsMed,C362,AbsDu,"&lt;="&amp;A362,AbsAu,"&gt;="&amp;A362)&gt;0),C362&amp;" absent. ","")&amp;IF(AND(D362&lt;&gt;"",COUNTIFS(AbsMed,D362,AbsDu,"&lt;="&amp;A362,AbsAu,"&gt;="&amp;A362)&gt;0),D362&amp;" absent. ","")</f>
        <v>0</v>
      </c>
    </row>
    <row r="363" spans="1:5">
      <c r="A363" s="10">
        <f>Debut+361</f>
        <v>2027-12-28 00:00:00</v>
      </c>
      <c r="B363" s="6">
        <f>IF(COUNTIF(Feries,A363)&gt;0,"Férié",IF(WEEKDAY(A363,2)=6,"Samedi",IF(WEEKDAY(A363,2)=7,"Dimanche","Semaine")))</f>
        <v>0</v>
      </c>
      <c r="C363" s="8"/>
      <c r="D363" s="8"/>
      <c r="E363" s="11">
        <f>IF(AND(C363&lt;&gt;"",C363=C362),"Ligne 1 : même médecin deux jours de suite. ","")&amp;IF(AND(D363&lt;&gt;"",D363=D362),"Ligne 2 : même médecin deux jours de suite. ","")&amp;IF(AND(C363&lt;&gt;"",C363=D363),"Même médecin sur les deux lignes. ","")&amp;IF(AND(C363&lt;&gt;"",COUNTIFS(AbsMed,C363,AbsDu,"&lt;="&amp;A363,AbsAu,"&gt;="&amp;A363)&gt;0),C363&amp;" absent. ","")&amp;IF(AND(D363&lt;&gt;"",COUNTIFS(AbsMed,D363,AbsDu,"&lt;="&amp;A363,AbsAu,"&gt;="&amp;A363)&gt;0),D363&amp;" absent. ","")</f>
        <v>0</v>
      </c>
    </row>
    <row r="364" spans="1:5">
      <c r="A364" s="10">
        <f>Debut+362</f>
        <v>2027-12-29 00:00:00</v>
      </c>
      <c r="B364" s="6">
        <f>IF(COUNTIF(Feries,A364)&gt;0,"Férié",IF(WEEKDAY(A364,2)=6,"Samedi",IF(WEEKDAY(A364,2)=7,"Dimanche","Semaine")))</f>
        <v>0</v>
      </c>
      <c r="C364" s="8"/>
      <c r="D364" s="8"/>
      <c r="E364" s="11">
        <f>IF(AND(C364&lt;&gt;"",C364=C363),"Ligne 1 : même médecin deux jours de suite. ","")&amp;IF(AND(D364&lt;&gt;"",D364=D363),"Ligne 2 : même médecin deux jours de suite. ","")&amp;IF(AND(C364&lt;&gt;"",C364=D364),"Même médecin sur les deux lignes. ","")&amp;IF(AND(C364&lt;&gt;"",COUNTIFS(AbsMed,C364,AbsDu,"&lt;="&amp;A364,AbsAu,"&gt;="&amp;A364)&gt;0),C364&amp;" absent. ","")&amp;IF(AND(D364&lt;&gt;"",COUNTIFS(AbsMed,D364,AbsDu,"&lt;="&amp;A364,AbsAu,"&gt;="&amp;A364)&gt;0),D364&amp;" absent. ","")</f>
        <v>0</v>
      </c>
    </row>
    <row r="365" spans="1:5">
      <c r="A365" s="10">
        <f>Debut+363</f>
        <v>2027-12-30 00:00:00</v>
      </c>
      <c r="B365" s="6">
        <f>IF(COUNTIF(Feries,A365)&gt;0,"Férié",IF(WEEKDAY(A365,2)=6,"Samedi",IF(WEEKDAY(A365,2)=7,"Dimanche","Semaine")))</f>
        <v>0</v>
      </c>
      <c r="C365" s="8"/>
      <c r="D365" s="8"/>
      <c r="E365" s="11">
        <f>IF(AND(C365&lt;&gt;"",C365=C364),"Ligne 1 : même médecin deux jours de suite. ","")&amp;IF(AND(D365&lt;&gt;"",D365=D364),"Ligne 2 : même médecin deux jours de suite. ","")&amp;IF(AND(C365&lt;&gt;"",C365=D365),"Même médecin sur les deux lignes. ","")&amp;IF(AND(C365&lt;&gt;"",COUNTIFS(AbsMed,C365,AbsDu,"&lt;="&amp;A365,AbsAu,"&gt;="&amp;A365)&gt;0),C365&amp;" absent. ","")&amp;IF(AND(D365&lt;&gt;"",COUNTIFS(AbsMed,D365,AbsDu,"&lt;="&amp;A365,AbsAu,"&gt;="&amp;A365)&gt;0),D365&amp;" absent. ","")</f>
        <v>0</v>
      </c>
    </row>
    <row r="366" spans="1:5">
      <c r="A366" s="10">
        <f>Debut+364</f>
        <v>2027-12-31 00:00:00</v>
      </c>
      <c r="B366" s="6">
        <f>IF(COUNTIF(Feries,A366)&gt;0,"Férié",IF(WEEKDAY(A366,2)=6,"Samedi",IF(WEEKDAY(A366,2)=7,"Dimanche","Semaine")))</f>
        <v>0</v>
      </c>
      <c r="C366" s="8"/>
      <c r="D366" s="8"/>
      <c r="E366" s="11">
        <f>IF(AND(C366&lt;&gt;"",C366=C365),"Ligne 1 : même médecin deux jours de suite. ","")&amp;IF(AND(D366&lt;&gt;"",D366=D365),"Ligne 2 : même médecin deux jours de suite. ","")&amp;IF(AND(C366&lt;&gt;"",C366=D366),"Même médecin sur les deux lignes. ","")&amp;IF(AND(C366&lt;&gt;"",COUNTIFS(AbsMed,C366,AbsDu,"&lt;="&amp;A366,AbsAu,"&gt;="&amp;A366)&gt;0),C366&amp;" absent. ","")&amp;IF(AND(D366&lt;&gt;"",COUNTIFS(AbsMed,D366,AbsDu,"&lt;="&amp;A366,AbsAu,"&gt;="&amp;A366)&gt;0),D366&amp;" absent. ","")</f>
        <v>0</v>
      </c>
    </row>
    <row r="367" spans="1:5">
      <c r="A367" s="10">
        <f>Debut+365</f>
        <v>2028-01-01 00:00:00</v>
      </c>
      <c r="B367" s="6">
        <f>IF(COUNTIF(Feries,A367)&gt;0,"Férié",IF(WEEKDAY(A367,2)=6,"Samedi",IF(WEEKDAY(A367,2)=7,"Dimanche","Semaine")))</f>
        <v>0</v>
      </c>
      <c r="C367" s="8"/>
      <c r="D367" s="8"/>
      <c r="E367" s="11">
        <f>IF(AND(C367&lt;&gt;"",C367=C366),"Ligne 1 : même médecin deux jours de suite. ","")&amp;IF(AND(D367&lt;&gt;"",D367=D366),"Ligne 2 : même médecin deux jours de suite. ","")&amp;IF(AND(C367&lt;&gt;"",C367=D367),"Même médecin sur les deux lignes. ","")&amp;IF(AND(C367&lt;&gt;"",COUNTIFS(AbsMed,C367,AbsDu,"&lt;="&amp;A367,AbsAu,"&gt;="&amp;A367)&gt;0),C367&amp;" absent. ","")&amp;IF(AND(D367&lt;&gt;"",COUNTIFS(AbsMed,D367,AbsDu,"&lt;="&amp;A367,AbsAu,"&gt;="&amp;A367)&gt;0),D367&amp;" absent. ","")</f>
        <v>0</v>
      </c>
    </row>
  </sheetData>
  <autoFilter ref="A1:E367"/>
  <conditionalFormatting sqref="A2:E367">
    <cfRule type="expression" dxfId="0" priority="1">
      <formula>$B2="Férié"</formula>
    </cfRule>
    <cfRule type="expression" dxfId="1" priority="2">
      <formula>OR($B2="Samedi",$B2="Dimanche")</formula>
    </cfRule>
  </conditionalFormatting>
  <conditionalFormatting sqref="C2:D367">
    <cfRule type="expression" dxfId="2" priority="3">
      <formula>AND(C2&lt;&gt;"",COUNTIFS(AbsMed,C2,AbsDu,"&lt;="&amp;$A2,AbsAu,"&gt;="&amp;$A2)&gt;0)</formula>
    </cfRule>
  </conditionalFormatting>
  <conditionalFormatting sqref="C3:C367">
    <cfRule type="expression" dxfId="3" priority="4">
      <formula>AND(C3&lt;&gt;"",C3=C2)</formula>
    </cfRule>
  </conditionalFormatting>
  <conditionalFormatting sqref="D3:D367">
    <cfRule type="expression" dxfId="3" priority="5">
      <formula>AND(D3&lt;&gt;"",D3=D2)</formula>
    </cfRule>
  </conditionalFormatting>
  <dataValidations count="1">
    <dataValidation type="list" allowBlank="1" showInputMessage="1" showErrorMessage="1" errorTitle="Médecin inconnu" error="Choisissez un nom de la feuille Équipe." sqref="C2:D367">
      <formula1>Medecins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3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2.7109375" customWidth="1"/>
    <col min="2" max="14" width="11.7109375" customWidth="1"/>
  </cols>
  <sheetData>
    <row r="1" spans="1:14">
      <c r="C1" s="5" t="str">
        <f>'Paramètres'!B3</f>
        <v>Garde sur place</v>
      </c>
      <c r="D1" s="5"/>
      <c r="E1" s="5"/>
      <c r="F1" s="5"/>
      <c r="G1" s="5"/>
      <c r="H1" s="5" t="str">
        <f>'Paramètres'!B4</f>
        <v>Astreinte</v>
      </c>
      <c r="I1" s="5"/>
      <c r="J1" s="5"/>
      <c r="K1" s="5"/>
      <c r="L1" s="5" t="s">
        <v>57</v>
      </c>
      <c r="M1" s="5"/>
      <c r="N1" s="5"/>
    </row>
    <row r="2" spans="1:14" ht="30" customHeight="1">
      <c r="A2" s="5" t="s">
        <v>27</v>
      </c>
      <c r="B2" s="5" t="s">
        <v>28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  <c r="H2" s="5" t="s">
        <v>58</v>
      </c>
      <c r="I2" s="5" t="s">
        <v>60</v>
      </c>
      <c r="J2" s="5" t="s">
        <v>61</v>
      </c>
      <c r="K2" s="5" t="s">
        <v>62</v>
      </c>
      <c r="L2" s="5" t="s">
        <v>63</v>
      </c>
      <c r="M2" s="5" t="s">
        <v>64</v>
      </c>
      <c r="N2" s="5" t="s">
        <v>65</v>
      </c>
    </row>
    <row r="3" spans="1:14">
      <c r="A3" s="6">
        <f>IF('Équipe'!A2="","",'Équipe'!A2)</f>
        <v>0</v>
      </c>
      <c r="B3" s="12">
        <f>IF(A3="","",'Équipe'!B2)</f>
        <v>0</v>
      </c>
      <c r="C3" s="13">
        <f>IF(A3="","",COUNTIF(Planning!$C$2:$C$367,A3))</f>
        <v>0</v>
      </c>
      <c r="D3" s="13">
        <f>IF(A3="","",COUNTIFS(Planning!$C$2:$C$367,A3,Planning!$B$2:$B$367,"Semaine"))</f>
        <v>0</v>
      </c>
      <c r="E3" s="13">
        <f>IF(A3="","",COUNTIFS(Planning!$C$2:$C$367,A3,Planning!$B$2:$B$367,"Samedi"))</f>
        <v>0</v>
      </c>
      <c r="F3" s="13">
        <f>IF(A3="","",COUNTIFS(Planning!$C$2:$C$367,A3,Planning!$B$2:$B$367,"Dimanche"))</f>
        <v>0</v>
      </c>
      <c r="G3" s="13">
        <f>IF(A3="","",COUNTIFS(Planning!$C$2:$C$367,A3,Planning!$B$2:$B$367,"Férié"))</f>
        <v>0</v>
      </c>
      <c r="H3" s="13">
        <f>IF(A3="","",COUNTIF(Planning!$D$2:$D$367,A3))</f>
        <v>0</v>
      </c>
      <c r="I3" s="13">
        <f>IF(A3="","",COUNTIFS(Planning!$D$2:$D$367,A3,Planning!$B$2:$B$367,"Samedi"))</f>
        <v>0</v>
      </c>
      <c r="J3" s="13">
        <f>IF(A3="","",COUNTIFS(Planning!$D$2:$D$367,A3,Planning!$B$2:$B$367,"Dimanche"))</f>
        <v>0</v>
      </c>
      <c r="K3" s="13">
        <f>IF(A3="","",COUNTIFS(Planning!$D$2:$D$367,A3,Planning!$B$2:$B$367,"Férié"))</f>
        <v>0</v>
      </c>
      <c r="L3" s="14">
        <f>IF(OR(A3="",SUM(Quotites)=0),"",COUNTA(Planning!$C$2:$C$367)*B3/SUM(Quotites))</f>
        <v>0</v>
      </c>
      <c r="M3" s="15">
        <f>IF(L3="","",C3-L3)</f>
        <v>0</v>
      </c>
      <c r="N3" s="13">
        <f>IF(A3="","",E3+F3+G3)</f>
        <v>0</v>
      </c>
    </row>
    <row r="4" spans="1:14">
      <c r="A4" s="6">
        <f>IF('Équipe'!A3="","",'Équipe'!A3)</f>
        <v>0</v>
      </c>
      <c r="B4" s="12">
        <f>IF(A4="","",'Équipe'!B3)</f>
        <v>0</v>
      </c>
      <c r="C4" s="13">
        <f>IF(A4="","",COUNTIF(Planning!$C$2:$C$367,A4))</f>
        <v>0</v>
      </c>
      <c r="D4" s="13">
        <f>IF(A4="","",COUNTIFS(Planning!$C$2:$C$367,A4,Planning!$B$2:$B$367,"Semaine"))</f>
        <v>0</v>
      </c>
      <c r="E4" s="13">
        <f>IF(A4="","",COUNTIFS(Planning!$C$2:$C$367,A4,Planning!$B$2:$B$367,"Samedi"))</f>
        <v>0</v>
      </c>
      <c r="F4" s="13">
        <f>IF(A4="","",COUNTIFS(Planning!$C$2:$C$367,A4,Planning!$B$2:$B$367,"Dimanche"))</f>
        <v>0</v>
      </c>
      <c r="G4" s="13">
        <f>IF(A4="","",COUNTIFS(Planning!$C$2:$C$367,A4,Planning!$B$2:$B$367,"Férié"))</f>
        <v>0</v>
      </c>
      <c r="H4" s="13">
        <f>IF(A4="","",COUNTIF(Planning!$D$2:$D$367,A4))</f>
        <v>0</v>
      </c>
      <c r="I4" s="13">
        <f>IF(A4="","",COUNTIFS(Planning!$D$2:$D$367,A4,Planning!$B$2:$B$367,"Samedi"))</f>
        <v>0</v>
      </c>
      <c r="J4" s="13">
        <f>IF(A4="","",COUNTIFS(Planning!$D$2:$D$367,A4,Planning!$B$2:$B$367,"Dimanche"))</f>
        <v>0</v>
      </c>
      <c r="K4" s="13">
        <f>IF(A4="","",COUNTIFS(Planning!$D$2:$D$367,A4,Planning!$B$2:$B$367,"Férié"))</f>
        <v>0</v>
      </c>
      <c r="L4" s="14">
        <f>IF(OR(A4="",SUM(Quotites)=0),"",COUNTA(Planning!$C$2:$C$367)*B4/SUM(Quotites))</f>
        <v>0</v>
      </c>
      <c r="M4" s="15">
        <f>IF(L4="","",C4-L4)</f>
        <v>0</v>
      </c>
      <c r="N4" s="13">
        <f>IF(A4="","",E4+F4+G4)</f>
        <v>0</v>
      </c>
    </row>
    <row r="5" spans="1:14">
      <c r="A5" s="6">
        <f>IF('Équipe'!A4="","",'Équipe'!A4)</f>
        <v>0</v>
      </c>
      <c r="B5" s="12">
        <f>IF(A5="","",'Équipe'!B4)</f>
        <v>0</v>
      </c>
      <c r="C5" s="13">
        <f>IF(A5="","",COUNTIF(Planning!$C$2:$C$367,A5))</f>
        <v>0</v>
      </c>
      <c r="D5" s="13">
        <f>IF(A5="","",COUNTIFS(Planning!$C$2:$C$367,A5,Planning!$B$2:$B$367,"Semaine"))</f>
        <v>0</v>
      </c>
      <c r="E5" s="13">
        <f>IF(A5="","",COUNTIFS(Planning!$C$2:$C$367,A5,Planning!$B$2:$B$367,"Samedi"))</f>
        <v>0</v>
      </c>
      <c r="F5" s="13">
        <f>IF(A5="","",COUNTIFS(Planning!$C$2:$C$367,A5,Planning!$B$2:$B$367,"Dimanche"))</f>
        <v>0</v>
      </c>
      <c r="G5" s="13">
        <f>IF(A5="","",COUNTIFS(Planning!$C$2:$C$367,A5,Planning!$B$2:$B$367,"Férié"))</f>
        <v>0</v>
      </c>
      <c r="H5" s="13">
        <f>IF(A5="","",COUNTIF(Planning!$D$2:$D$367,A5))</f>
        <v>0</v>
      </c>
      <c r="I5" s="13">
        <f>IF(A5="","",COUNTIFS(Planning!$D$2:$D$367,A5,Planning!$B$2:$B$367,"Samedi"))</f>
        <v>0</v>
      </c>
      <c r="J5" s="13">
        <f>IF(A5="","",COUNTIFS(Planning!$D$2:$D$367,A5,Planning!$B$2:$B$367,"Dimanche"))</f>
        <v>0</v>
      </c>
      <c r="K5" s="13">
        <f>IF(A5="","",COUNTIFS(Planning!$D$2:$D$367,A5,Planning!$B$2:$B$367,"Férié"))</f>
        <v>0</v>
      </c>
      <c r="L5" s="14">
        <f>IF(OR(A5="",SUM(Quotites)=0),"",COUNTA(Planning!$C$2:$C$367)*B5/SUM(Quotites))</f>
        <v>0</v>
      </c>
      <c r="M5" s="15">
        <f>IF(L5="","",C5-L5)</f>
        <v>0</v>
      </c>
      <c r="N5" s="13">
        <f>IF(A5="","",E5+F5+G5)</f>
        <v>0</v>
      </c>
    </row>
    <row r="6" spans="1:14">
      <c r="A6" s="6">
        <f>IF('Équipe'!A5="","",'Équipe'!A5)</f>
        <v>0</v>
      </c>
      <c r="B6" s="12">
        <f>IF(A6="","",'Équipe'!B5)</f>
        <v>0</v>
      </c>
      <c r="C6" s="13">
        <f>IF(A6="","",COUNTIF(Planning!$C$2:$C$367,A6))</f>
        <v>0</v>
      </c>
      <c r="D6" s="13">
        <f>IF(A6="","",COUNTIFS(Planning!$C$2:$C$367,A6,Planning!$B$2:$B$367,"Semaine"))</f>
        <v>0</v>
      </c>
      <c r="E6" s="13">
        <f>IF(A6="","",COUNTIFS(Planning!$C$2:$C$367,A6,Planning!$B$2:$B$367,"Samedi"))</f>
        <v>0</v>
      </c>
      <c r="F6" s="13">
        <f>IF(A6="","",COUNTIFS(Planning!$C$2:$C$367,A6,Planning!$B$2:$B$367,"Dimanche"))</f>
        <v>0</v>
      </c>
      <c r="G6" s="13">
        <f>IF(A6="","",COUNTIFS(Planning!$C$2:$C$367,A6,Planning!$B$2:$B$367,"Férié"))</f>
        <v>0</v>
      </c>
      <c r="H6" s="13">
        <f>IF(A6="","",COUNTIF(Planning!$D$2:$D$367,A6))</f>
        <v>0</v>
      </c>
      <c r="I6" s="13">
        <f>IF(A6="","",COUNTIFS(Planning!$D$2:$D$367,A6,Planning!$B$2:$B$367,"Samedi"))</f>
        <v>0</v>
      </c>
      <c r="J6" s="13">
        <f>IF(A6="","",COUNTIFS(Planning!$D$2:$D$367,A6,Planning!$B$2:$B$367,"Dimanche"))</f>
        <v>0</v>
      </c>
      <c r="K6" s="13">
        <f>IF(A6="","",COUNTIFS(Planning!$D$2:$D$367,A6,Planning!$B$2:$B$367,"Férié"))</f>
        <v>0</v>
      </c>
      <c r="L6" s="14">
        <f>IF(OR(A6="",SUM(Quotites)=0),"",COUNTA(Planning!$C$2:$C$367)*B6/SUM(Quotites))</f>
        <v>0</v>
      </c>
      <c r="M6" s="15">
        <f>IF(L6="","",C6-L6)</f>
        <v>0</v>
      </c>
      <c r="N6" s="13">
        <f>IF(A6="","",E6+F6+G6)</f>
        <v>0</v>
      </c>
    </row>
    <row r="7" spans="1:14">
      <c r="A7" s="6">
        <f>IF('Équipe'!A6="","",'Équipe'!A6)</f>
        <v>0</v>
      </c>
      <c r="B7" s="12">
        <f>IF(A7="","",'Équipe'!B6)</f>
        <v>0</v>
      </c>
      <c r="C7" s="13">
        <f>IF(A7="","",COUNTIF(Planning!$C$2:$C$367,A7))</f>
        <v>0</v>
      </c>
      <c r="D7" s="13">
        <f>IF(A7="","",COUNTIFS(Planning!$C$2:$C$367,A7,Planning!$B$2:$B$367,"Semaine"))</f>
        <v>0</v>
      </c>
      <c r="E7" s="13">
        <f>IF(A7="","",COUNTIFS(Planning!$C$2:$C$367,A7,Planning!$B$2:$B$367,"Samedi"))</f>
        <v>0</v>
      </c>
      <c r="F7" s="13">
        <f>IF(A7="","",COUNTIFS(Planning!$C$2:$C$367,A7,Planning!$B$2:$B$367,"Dimanche"))</f>
        <v>0</v>
      </c>
      <c r="G7" s="13">
        <f>IF(A7="","",COUNTIFS(Planning!$C$2:$C$367,A7,Planning!$B$2:$B$367,"Férié"))</f>
        <v>0</v>
      </c>
      <c r="H7" s="13">
        <f>IF(A7="","",COUNTIF(Planning!$D$2:$D$367,A7))</f>
        <v>0</v>
      </c>
      <c r="I7" s="13">
        <f>IF(A7="","",COUNTIFS(Planning!$D$2:$D$367,A7,Planning!$B$2:$B$367,"Samedi"))</f>
        <v>0</v>
      </c>
      <c r="J7" s="13">
        <f>IF(A7="","",COUNTIFS(Planning!$D$2:$D$367,A7,Planning!$B$2:$B$367,"Dimanche"))</f>
        <v>0</v>
      </c>
      <c r="K7" s="13">
        <f>IF(A7="","",COUNTIFS(Planning!$D$2:$D$367,A7,Planning!$B$2:$B$367,"Férié"))</f>
        <v>0</v>
      </c>
      <c r="L7" s="14">
        <f>IF(OR(A7="",SUM(Quotites)=0),"",COUNTA(Planning!$C$2:$C$367)*B7/SUM(Quotites))</f>
        <v>0</v>
      </c>
      <c r="M7" s="15">
        <f>IF(L7="","",C7-L7)</f>
        <v>0</v>
      </c>
      <c r="N7" s="13">
        <f>IF(A7="","",E7+F7+G7)</f>
        <v>0</v>
      </c>
    </row>
    <row r="8" spans="1:14">
      <c r="A8" s="6">
        <f>IF('Équipe'!A7="","",'Équipe'!A7)</f>
        <v>0</v>
      </c>
      <c r="B8" s="12">
        <f>IF(A8="","",'Équipe'!B7)</f>
        <v>0</v>
      </c>
      <c r="C8" s="13">
        <f>IF(A8="","",COUNTIF(Planning!$C$2:$C$367,A8))</f>
        <v>0</v>
      </c>
      <c r="D8" s="13">
        <f>IF(A8="","",COUNTIFS(Planning!$C$2:$C$367,A8,Planning!$B$2:$B$367,"Semaine"))</f>
        <v>0</v>
      </c>
      <c r="E8" s="13">
        <f>IF(A8="","",COUNTIFS(Planning!$C$2:$C$367,A8,Planning!$B$2:$B$367,"Samedi"))</f>
        <v>0</v>
      </c>
      <c r="F8" s="13">
        <f>IF(A8="","",COUNTIFS(Planning!$C$2:$C$367,A8,Planning!$B$2:$B$367,"Dimanche"))</f>
        <v>0</v>
      </c>
      <c r="G8" s="13">
        <f>IF(A8="","",COUNTIFS(Planning!$C$2:$C$367,A8,Planning!$B$2:$B$367,"Férié"))</f>
        <v>0</v>
      </c>
      <c r="H8" s="13">
        <f>IF(A8="","",COUNTIF(Planning!$D$2:$D$367,A8))</f>
        <v>0</v>
      </c>
      <c r="I8" s="13">
        <f>IF(A8="","",COUNTIFS(Planning!$D$2:$D$367,A8,Planning!$B$2:$B$367,"Samedi"))</f>
        <v>0</v>
      </c>
      <c r="J8" s="13">
        <f>IF(A8="","",COUNTIFS(Planning!$D$2:$D$367,A8,Planning!$B$2:$B$367,"Dimanche"))</f>
        <v>0</v>
      </c>
      <c r="K8" s="13">
        <f>IF(A8="","",COUNTIFS(Planning!$D$2:$D$367,A8,Planning!$B$2:$B$367,"Férié"))</f>
        <v>0</v>
      </c>
      <c r="L8" s="14">
        <f>IF(OR(A8="",SUM(Quotites)=0),"",COUNTA(Planning!$C$2:$C$367)*B8/SUM(Quotites))</f>
        <v>0</v>
      </c>
      <c r="M8" s="15">
        <f>IF(L8="","",C8-L8)</f>
        <v>0</v>
      </c>
      <c r="N8" s="13">
        <f>IF(A8="","",E8+F8+G8)</f>
        <v>0</v>
      </c>
    </row>
    <row r="9" spans="1:14">
      <c r="A9" s="6">
        <f>IF('Équipe'!A8="","",'Équipe'!A8)</f>
        <v>0</v>
      </c>
      <c r="B9" s="12">
        <f>IF(A9="","",'Équipe'!B8)</f>
        <v>0</v>
      </c>
      <c r="C9" s="13">
        <f>IF(A9="","",COUNTIF(Planning!$C$2:$C$367,A9))</f>
        <v>0</v>
      </c>
      <c r="D9" s="13">
        <f>IF(A9="","",COUNTIFS(Planning!$C$2:$C$367,A9,Planning!$B$2:$B$367,"Semaine"))</f>
        <v>0</v>
      </c>
      <c r="E9" s="13">
        <f>IF(A9="","",COUNTIFS(Planning!$C$2:$C$367,A9,Planning!$B$2:$B$367,"Samedi"))</f>
        <v>0</v>
      </c>
      <c r="F9" s="13">
        <f>IF(A9="","",COUNTIFS(Planning!$C$2:$C$367,A9,Planning!$B$2:$B$367,"Dimanche"))</f>
        <v>0</v>
      </c>
      <c r="G9" s="13">
        <f>IF(A9="","",COUNTIFS(Planning!$C$2:$C$367,A9,Planning!$B$2:$B$367,"Férié"))</f>
        <v>0</v>
      </c>
      <c r="H9" s="13">
        <f>IF(A9="","",COUNTIF(Planning!$D$2:$D$367,A9))</f>
        <v>0</v>
      </c>
      <c r="I9" s="13">
        <f>IF(A9="","",COUNTIFS(Planning!$D$2:$D$367,A9,Planning!$B$2:$B$367,"Samedi"))</f>
        <v>0</v>
      </c>
      <c r="J9" s="13">
        <f>IF(A9="","",COUNTIFS(Planning!$D$2:$D$367,A9,Planning!$B$2:$B$367,"Dimanche"))</f>
        <v>0</v>
      </c>
      <c r="K9" s="13">
        <f>IF(A9="","",COUNTIFS(Planning!$D$2:$D$367,A9,Planning!$B$2:$B$367,"Férié"))</f>
        <v>0</v>
      </c>
      <c r="L9" s="14">
        <f>IF(OR(A9="",SUM(Quotites)=0),"",COUNTA(Planning!$C$2:$C$367)*B9/SUM(Quotites))</f>
        <v>0</v>
      </c>
      <c r="M9" s="15">
        <f>IF(L9="","",C9-L9)</f>
        <v>0</v>
      </c>
      <c r="N9" s="13">
        <f>IF(A9="","",E9+F9+G9)</f>
        <v>0</v>
      </c>
    </row>
    <row r="10" spans="1:14">
      <c r="A10" s="6">
        <f>IF('Équipe'!A9="","",'Équipe'!A9)</f>
        <v>0</v>
      </c>
      <c r="B10" s="12">
        <f>IF(A10="","",'Équipe'!B9)</f>
        <v>0</v>
      </c>
      <c r="C10" s="13">
        <f>IF(A10="","",COUNTIF(Planning!$C$2:$C$367,A10))</f>
        <v>0</v>
      </c>
      <c r="D10" s="13">
        <f>IF(A10="","",COUNTIFS(Planning!$C$2:$C$367,A10,Planning!$B$2:$B$367,"Semaine"))</f>
        <v>0</v>
      </c>
      <c r="E10" s="13">
        <f>IF(A10="","",COUNTIFS(Planning!$C$2:$C$367,A10,Planning!$B$2:$B$367,"Samedi"))</f>
        <v>0</v>
      </c>
      <c r="F10" s="13">
        <f>IF(A10="","",COUNTIFS(Planning!$C$2:$C$367,A10,Planning!$B$2:$B$367,"Dimanche"))</f>
        <v>0</v>
      </c>
      <c r="G10" s="13">
        <f>IF(A10="","",COUNTIFS(Planning!$C$2:$C$367,A10,Planning!$B$2:$B$367,"Férié"))</f>
        <v>0</v>
      </c>
      <c r="H10" s="13">
        <f>IF(A10="","",COUNTIF(Planning!$D$2:$D$367,A10))</f>
        <v>0</v>
      </c>
      <c r="I10" s="13">
        <f>IF(A10="","",COUNTIFS(Planning!$D$2:$D$367,A10,Planning!$B$2:$B$367,"Samedi"))</f>
        <v>0</v>
      </c>
      <c r="J10" s="13">
        <f>IF(A10="","",COUNTIFS(Planning!$D$2:$D$367,A10,Planning!$B$2:$B$367,"Dimanche"))</f>
        <v>0</v>
      </c>
      <c r="K10" s="13">
        <f>IF(A10="","",COUNTIFS(Planning!$D$2:$D$367,A10,Planning!$B$2:$B$367,"Férié"))</f>
        <v>0</v>
      </c>
      <c r="L10" s="14">
        <f>IF(OR(A10="",SUM(Quotites)=0),"",COUNTA(Planning!$C$2:$C$367)*B10/SUM(Quotites))</f>
        <v>0</v>
      </c>
      <c r="M10" s="15">
        <f>IF(L10="","",C10-L10)</f>
        <v>0</v>
      </c>
      <c r="N10" s="13">
        <f>IF(A10="","",E10+F10+G10)</f>
        <v>0</v>
      </c>
    </row>
    <row r="11" spans="1:14">
      <c r="A11" s="6">
        <f>IF('Équipe'!A10="","",'Équipe'!A10)</f>
        <v>0</v>
      </c>
      <c r="B11" s="12">
        <f>IF(A11="","",'Équipe'!B10)</f>
        <v>0</v>
      </c>
      <c r="C11" s="13">
        <f>IF(A11="","",COUNTIF(Planning!$C$2:$C$367,A11))</f>
        <v>0</v>
      </c>
      <c r="D11" s="13">
        <f>IF(A11="","",COUNTIFS(Planning!$C$2:$C$367,A11,Planning!$B$2:$B$367,"Semaine"))</f>
        <v>0</v>
      </c>
      <c r="E11" s="13">
        <f>IF(A11="","",COUNTIFS(Planning!$C$2:$C$367,A11,Planning!$B$2:$B$367,"Samedi"))</f>
        <v>0</v>
      </c>
      <c r="F11" s="13">
        <f>IF(A11="","",COUNTIFS(Planning!$C$2:$C$367,A11,Planning!$B$2:$B$367,"Dimanche"))</f>
        <v>0</v>
      </c>
      <c r="G11" s="13">
        <f>IF(A11="","",COUNTIFS(Planning!$C$2:$C$367,A11,Planning!$B$2:$B$367,"Férié"))</f>
        <v>0</v>
      </c>
      <c r="H11" s="13">
        <f>IF(A11="","",COUNTIF(Planning!$D$2:$D$367,A11))</f>
        <v>0</v>
      </c>
      <c r="I11" s="13">
        <f>IF(A11="","",COUNTIFS(Planning!$D$2:$D$367,A11,Planning!$B$2:$B$367,"Samedi"))</f>
        <v>0</v>
      </c>
      <c r="J11" s="13">
        <f>IF(A11="","",COUNTIFS(Planning!$D$2:$D$367,A11,Planning!$B$2:$B$367,"Dimanche"))</f>
        <v>0</v>
      </c>
      <c r="K11" s="13">
        <f>IF(A11="","",COUNTIFS(Planning!$D$2:$D$367,A11,Planning!$B$2:$B$367,"Férié"))</f>
        <v>0</v>
      </c>
      <c r="L11" s="14">
        <f>IF(OR(A11="",SUM(Quotites)=0),"",COUNTA(Planning!$C$2:$C$367)*B11/SUM(Quotites))</f>
        <v>0</v>
      </c>
      <c r="M11" s="15">
        <f>IF(L11="","",C11-L11)</f>
        <v>0</v>
      </c>
      <c r="N11" s="13">
        <f>IF(A11="","",E11+F11+G11)</f>
        <v>0</v>
      </c>
    </row>
    <row r="12" spans="1:14">
      <c r="A12" s="6">
        <f>IF('Équipe'!A11="","",'Équipe'!A11)</f>
        <v>0</v>
      </c>
      <c r="B12" s="12">
        <f>IF(A12="","",'Équipe'!B11)</f>
        <v>0</v>
      </c>
      <c r="C12" s="13">
        <f>IF(A12="","",COUNTIF(Planning!$C$2:$C$367,A12))</f>
        <v>0</v>
      </c>
      <c r="D12" s="13">
        <f>IF(A12="","",COUNTIFS(Planning!$C$2:$C$367,A12,Planning!$B$2:$B$367,"Semaine"))</f>
        <v>0</v>
      </c>
      <c r="E12" s="13">
        <f>IF(A12="","",COUNTIFS(Planning!$C$2:$C$367,A12,Planning!$B$2:$B$367,"Samedi"))</f>
        <v>0</v>
      </c>
      <c r="F12" s="13">
        <f>IF(A12="","",COUNTIFS(Planning!$C$2:$C$367,A12,Planning!$B$2:$B$367,"Dimanche"))</f>
        <v>0</v>
      </c>
      <c r="G12" s="13">
        <f>IF(A12="","",COUNTIFS(Planning!$C$2:$C$367,A12,Planning!$B$2:$B$367,"Férié"))</f>
        <v>0</v>
      </c>
      <c r="H12" s="13">
        <f>IF(A12="","",COUNTIF(Planning!$D$2:$D$367,A12))</f>
        <v>0</v>
      </c>
      <c r="I12" s="13">
        <f>IF(A12="","",COUNTIFS(Planning!$D$2:$D$367,A12,Planning!$B$2:$B$367,"Samedi"))</f>
        <v>0</v>
      </c>
      <c r="J12" s="13">
        <f>IF(A12="","",COUNTIFS(Planning!$D$2:$D$367,A12,Planning!$B$2:$B$367,"Dimanche"))</f>
        <v>0</v>
      </c>
      <c r="K12" s="13">
        <f>IF(A12="","",COUNTIFS(Planning!$D$2:$D$367,A12,Planning!$B$2:$B$367,"Férié"))</f>
        <v>0</v>
      </c>
      <c r="L12" s="14">
        <f>IF(OR(A12="",SUM(Quotites)=0),"",COUNTA(Planning!$C$2:$C$367)*B12/SUM(Quotites))</f>
        <v>0</v>
      </c>
      <c r="M12" s="15">
        <f>IF(L12="","",C12-L12)</f>
        <v>0</v>
      </c>
      <c r="N12" s="13">
        <f>IF(A12="","",E12+F12+G12)</f>
        <v>0</v>
      </c>
    </row>
    <row r="13" spans="1:14">
      <c r="A13" s="6">
        <f>IF('Équipe'!A12="","",'Équipe'!A12)</f>
        <v>0</v>
      </c>
      <c r="B13" s="12">
        <f>IF(A13="","",'Équipe'!B12)</f>
        <v>0</v>
      </c>
      <c r="C13" s="13">
        <f>IF(A13="","",COUNTIF(Planning!$C$2:$C$367,A13))</f>
        <v>0</v>
      </c>
      <c r="D13" s="13">
        <f>IF(A13="","",COUNTIFS(Planning!$C$2:$C$367,A13,Planning!$B$2:$B$367,"Semaine"))</f>
        <v>0</v>
      </c>
      <c r="E13" s="13">
        <f>IF(A13="","",COUNTIFS(Planning!$C$2:$C$367,A13,Planning!$B$2:$B$367,"Samedi"))</f>
        <v>0</v>
      </c>
      <c r="F13" s="13">
        <f>IF(A13="","",COUNTIFS(Planning!$C$2:$C$367,A13,Planning!$B$2:$B$367,"Dimanche"))</f>
        <v>0</v>
      </c>
      <c r="G13" s="13">
        <f>IF(A13="","",COUNTIFS(Planning!$C$2:$C$367,A13,Planning!$B$2:$B$367,"Férié"))</f>
        <v>0</v>
      </c>
      <c r="H13" s="13">
        <f>IF(A13="","",COUNTIF(Planning!$D$2:$D$367,A13))</f>
        <v>0</v>
      </c>
      <c r="I13" s="13">
        <f>IF(A13="","",COUNTIFS(Planning!$D$2:$D$367,A13,Planning!$B$2:$B$367,"Samedi"))</f>
        <v>0</v>
      </c>
      <c r="J13" s="13">
        <f>IF(A13="","",COUNTIFS(Planning!$D$2:$D$367,A13,Planning!$B$2:$B$367,"Dimanche"))</f>
        <v>0</v>
      </c>
      <c r="K13" s="13">
        <f>IF(A13="","",COUNTIFS(Planning!$D$2:$D$367,A13,Planning!$B$2:$B$367,"Férié"))</f>
        <v>0</v>
      </c>
      <c r="L13" s="14">
        <f>IF(OR(A13="",SUM(Quotites)=0),"",COUNTA(Planning!$C$2:$C$367)*B13/SUM(Quotites))</f>
        <v>0</v>
      </c>
      <c r="M13" s="15">
        <f>IF(L13="","",C13-L13)</f>
        <v>0</v>
      </c>
      <c r="N13" s="13">
        <f>IF(A13="","",E13+F13+G13)</f>
        <v>0</v>
      </c>
    </row>
    <row r="14" spans="1:14">
      <c r="A14" s="6">
        <f>IF('Équipe'!A13="","",'Équipe'!A13)</f>
        <v>0</v>
      </c>
      <c r="B14" s="12">
        <f>IF(A14="","",'Équipe'!B13)</f>
        <v>0</v>
      </c>
      <c r="C14" s="13">
        <f>IF(A14="","",COUNTIF(Planning!$C$2:$C$367,A14))</f>
        <v>0</v>
      </c>
      <c r="D14" s="13">
        <f>IF(A14="","",COUNTIFS(Planning!$C$2:$C$367,A14,Planning!$B$2:$B$367,"Semaine"))</f>
        <v>0</v>
      </c>
      <c r="E14" s="13">
        <f>IF(A14="","",COUNTIFS(Planning!$C$2:$C$367,A14,Planning!$B$2:$B$367,"Samedi"))</f>
        <v>0</v>
      </c>
      <c r="F14" s="13">
        <f>IF(A14="","",COUNTIFS(Planning!$C$2:$C$367,A14,Planning!$B$2:$B$367,"Dimanche"))</f>
        <v>0</v>
      </c>
      <c r="G14" s="13">
        <f>IF(A14="","",COUNTIFS(Planning!$C$2:$C$367,A14,Planning!$B$2:$B$367,"Férié"))</f>
        <v>0</v>
      </c>
      <c r="H14" s="13">
        <f>IF(A14="","",COUNTIF(Planning!$D$2:$D$367,A14))</f>
        <v>0</v>
      </c>
      <c r="I14" s="13">
        <f>IF(A14="","",COUNTIFS(Planning!$D$2:$D$367,A14,Planning!$B$2:$B$367,"Samedi"))</f>
        <v>0</v>
      </c>
      <c r="J14" s="13">
        <f>IF(A14="","",COUNTIFS(Planning!$D$2:$D$367,A14,Planning!$B$2:$B$367,"Dimanche"))</f>
        <v>0</v>
      </c>
      <c r="K14" s="13">
        <f>IF(A14="","",COUNTIFS(Planning!$D$2:$D$367,A14,Planning!$B$2:$B$367,"Férié"))</f>
        <v>0</v>
      </c>
      <c r="L14" s="14">
        <f>IF(OR(A14="",SUM(Quotites)=0),"",COUNTA(Planning!$C$2:$C$367)*B14/SUM(Quotites))</f>
        <v>0</v>
      </c>
      <c r="M14" s="15">
        <f>IF(L14="","",C14-L14)</f>
        <v>0</v>
      </c>
      <c r="N14" s="13">
        <f>IF(A14="","",E14+F14+G14)</f>
        <v>0</v>
      </c>
    </row>
    <row r="15" spans="1:14">
      <c r="A15" s="6">
        <f>IF('Équipe'!A14="","",'Équipe'!A14)</f>
        <v>0</v>
      </c>
      <c r="B15" s="12">
        <f>IF(A15="","",'Équipe'!B14)</f>
        <v>0</v>
      </c>
      <c r="C15" s="13">
        <f>IF(A15="","",COUNTIF(Planning!$C$2:$C$367,A15))</f>
        <v>0</v>
      </c>
      <c r="D15" s="13">
        <f>IF(A15="","",COUNTIFS(Planning!$C$2:$C$367,A15,Planning!$B$2:$B$367,"Semaine"))</f>
        <v>0</v>
      </c>
      <c r="E15" s="13">
        <f>IF(A15="","",COUNTIFS(Planning!$C$2:$C$367,A15,Planning!$B$2:$B$367,"Samedi"))</f>
        <v>0</v>
      </c>
      <c r="F15" s="13">
        <f>IF(A15="","",COUNTIFS(Planning!$C$2:$C$367,A15,Planning!$B$2:$B$367,"Dimanche"))</f>
        <v>0</v>
      </c>
      <c r="G15" s="13">
        <f>IF(A15="","",COUNTIFS(Planning!$C$2:$C$367,A15,Planning!$B$2:$B$367,"Férié"))</f>
        <v>0</v>
      </c>
      <c r="H15" s="13">
        <f>IF(A15="","",COUNTIF(Planning!$D$2:$D$367,A15))</f>
        <v>0</v>
      </c>
      <c r="I15" s="13">
        <f>IF(A15="","",COUNTIFS(Planning!$D$2:$D$367,A15,Planning!$B$2:$B$367,"Samedi"))</f>
        <v>0</v>
      </c>
      <c r="J15" s="13">
        <f>IF(A15="","",COUNTIFS(Planning!$D$2:$D$367,A15,Planning!$B$2:$B$367,"Dimanche"))</f>
        <v>0</v>
      </c>
      <c r="K15" s="13">
        <f>IF(A15="","",COUNTIFS(Planning!$D$2:$D$367,A15,Planning!$B$2:$B$367,"Férié"))</f>
        <v>0</v>
      </c>
      <c r="L15" s="14">
        <f>IF(OR(A15="",SUM(Quotites)=0),"",COUNTA(Planning!$C$2:$C$367)*B15/SUM(Quotites))</f>
        <v>0</v>
      </c>
      <c r="M15" s="15">
        <f>IF(L15="","",C15-L15)</f>
        <v>0</v>
      </c>
      <c r="N15" s="13">
        <f>IF(A15="","",E15+F15+G15)</f>
        <v>0</v>
      </c>
    </row>
    <row r="16" spans="1:14">
      <c r="A16" s="6">
        <f>IF('Équipe'!A15="","",'Équipe'!A15)</f>
        <v>0</v>
      </c>
      <c r="B16" s="12">
        <f>IF(A16="","",'Équipe'!B15)</f>
        <v>0</v>
      </c>
      <c r="C16" s="13">
        <f>IF(A16="","",COUNTIF(Planning!$C$2:$C$367,A16))</f>
        <v>0</v>
      </c>
      <c r="D16" s="13">
        <f>IF(A16="","",COUNTIFS(Planning!$C$2:$C$367,A16,Planning!$B$2:$B$367,"Semaine"))</f>
        <v>0</v>
      </c>
      <c r="E16" s="13">
        <f>IF(A16="","",COUNTIFS(Planning!$C$2:$C$367,A16,Planning!$B$2:$B$367,"Samedi"))</f>
        <v>0</v>
      </c>
      <c r="F16" s="13">
        <f>IF(A16="","",COUNTIFS(Planning!$C$2:$C$367,A16,Planning!$B$2:$B$367,"Dimanche"))</f>
        <v>0</v>
      </c>
      <c r="G16" s="13">
        <f>IF(A16="","",COUNTIFS(Planning!$C$2:$C$367,A16,Planning!$B$2:$B$367,"Férié"))</f>
        <v>0</v>
      </c>
      <c r="H16" s="13">
        <f>IF(A16="","",COUNTIF(Planning!$D$2:$D$367,A16))</f>
        <v>0</v>
      </c>
      <c r="I16" s="13">
        <f>IF(A16="","",COUNTIFS(Planning!$D$2:$D$367,A16,Planning!$B$2:$B$367,"Samedi"))</f>
        <v>0</v>
      </c>
      <c r="J16" s="13">
        <f>IF(A16="","",COUNTIFS(Planning!$D$2:$D$367,A16,Planning!$B$2:$B$367,"Dimanche"))</f>
        <v>0</v>
      </c>
      <c r="K16" s="13">
        <f>IF(A16="","",COUNTIFS(Planning!$D$2:$D$367,A16,Planning!$B$2:$B$367,"Férié"))</f>
        <v>0</v>
      </c>
      <c r="L16" s="14">
        <f>IF(OR(A16="",SUM(Quotites)=0),"",COUNTA(Planning!$C$2:$C$367)*B16/SUM(Quotites))</f>
        <v>0</v>
      </c>
      <c r="M16" s="15">
        <f>IF(L16="","",C16-L16)</f>
        <v>0</v>
      </c>
      <c r="N16" s="13">
        <f>IF(A16="","",E16+F16+G16)</f>
        <v>0</v>
      </c>
    </row>
    <row r="17" spans="1:14">
      <c r="A17" s="6">
        <f>IF('Équipe'!A16="","",'Équipe'!A16)</f>
        <v>0</v>
      </c>
      <c r="B17" s="12">
        <f>IF(A17="","",'Équipe'!B16)</f>
        <v>0</v>
      </c>
      <c r="C17" s="13">
        <f>IF(A17="","",COUNTIF(Planning!$C$2:$C$367,A17))</f>
        <v>0</v>
      </c>
      <c r="D17" s="13">
        <f>IF(A17="","",COUNTIFS(Planning!$C$2:$C$367,A17,Planning!$B$2:$B$367,"Semaine"))</f>
        <v>0</v>
      </c>
      <c r="E17" s="13">
        <f>IF(A17="","",COUNTIFS(Planning!$C$2:$C$367,A17,Planning!$B$2:$B$367,"Samedi"))</f>
        <v>0</v>
      </c>
      <c r="F17" s="13">
        <f>IF(A17="","",COUNTIFS(Planning!$C$2:$C$367,A17,Planning!$B$2:$B$367,"Dimanche"))</f>
        <v>0</v>
      </c>
      <c r="G17" s="13">
        <f>IF(A17="","",COUNTIFS(Planning!$C$2:$C$367,A17,Planning!$B$2:$B$367,"Férié"))</f>
        <v>0</v>
      </c>
      <c r="H17" s="13">
        <f>IF(A17="","",COUNTIF(Planning!$D$2:$D$367,A17))</f>
        <v>0</v>
      </c>
      <c r="I17" s="13">
        <f>IF(A17="","",COUNTIFS(Planning!$D$2:$D$367,A17,Planning!$B$2:$B$367,"Samedi"))</f>
        <v>0</v>
      </c>
      <c r="J17" s="13">
        <f>IF(A17="","",COUNTIFS(Planning!$D$2:$D$367,A17,Planning!$B$2:$B$367,"Dimanche"))</f>
        <v>0</v>
      </c>
      <c r="K17" s="13">
        <f>IF(A17="","",COUNTIFS(Planning!$D$2:$D$367,A17,Planning!$B$2:$B$367,"Férié"))</f>
        <v>0</v>
      </c>
      <c r="L17" s="14">
        <f>IF(OR(A17="",SUM(Quotites)=0),"",COUNTA(Planning!$C$2:$C$367)*B17/SUM(Quotites))</f>
        <v>0</v>
      </c>
      <c r="M17" s="15">
        <f>IF(L17="","",C17-L17)</f>
        <v>0</v>
      </c>
      <c r="N17" s="13">
        <f>IF(A17="","",E17+F17+G17)</f>
        <v>0</v>
      </c>
    </row>
    <row r="18" spans="1:14">
      <c r="A18" s="6">
        <f>IF('Équipe'!A17="","",'Équipe'!A17)</f>
        <v>0</v>
      </c>
      <c r="B18" s="12">
        <f>IF(A18="","",'Équipe'!B17)</f>
        <v>0</v>
      </c>
      <c r="C18" s="13">
        <f>IF(A18="","",COUNTIF(Planning!$C$2:$C$367,A18))</f>
        <v>0</v>
      </c>
      <c r="D18" s="13">
        <f>IF(A18="","",COUNTIFS(Planning!$C$2:$C$367,A18,Planning!$B$2:$B$367,"Semaine"))</f>
        <v>0</v>
      </c>
      <c r="E18" s="13">
        <f>IF(A18="","",COUNTIFS(Planning!$C$2:$C$367,A18,Planning!$B$2:$B$367,"Samedi"))</f>
        <v>0</v>
      </c>
      <c r="F18" s="13">
        <f>IF(A18="","",COUNTIFS(Planning!$C$2:$C$367,A18,Planning!$B$2:$B$367,"Dimanche"))</f>
        <v>0</v>
      </c>
      <c r="G18" s="13">
        <f>IF(A18="","",COUNTIFS(Planning!$C$2:$C$367,A18,Planning!$B$2:$B$367,"Férié"))</f>
        <v>0</v>
      </c>
      <c r="H18" s="13">
        <f>IF(A18="","",COUNTIF(Planning!$D$2:$D$367,A18))</f>
        <v>0</v>
      </c>
      <c r="I18" s="13">
        <f>IF(A18="","",COUNTIFS(Planning!$D$2:$D$367,A18,Planning!$B$2:$B$367,"Samedi"))</f>
        <v>0</v>
      </c>
      <c r="J18" s="13">
        <f>IF(A18="","",COUNTIFS(Planning!$D$2:$D$367,A18,Planning!$B$2:$B$367,"Dimanche"))</f>
        <v>0</v>
      </c>
      <c r="K18" s="13">
        <f>IF(A18="","",COUNTIFS(Planning!$D$2:$D$367,A18,Planning!$B$2:$B$367,"Férié"))</f>
        <v>0</v>
      </c>
      <c r="L18" s="14">
        <f>IF(OR(A18="",SUM(Quotites)=0),"",COUNTA(Planning!$C$2:$C$367)*B18/SUM(Quotites))</f>
        <v>0</v>
      </c>
      <c r="M18" s="15">
        <f>IF(L18="","",C18-L18)</f>
        <v>0</v>
      </c>
      <c r="N18" s="13">
        <f>IF(A18="","",E18+F18+G18)</f>
        <v>0</v>
      </c>
    </row>
    <row r="19" spans="1:14">
      <c r="A19" s="6">
        <f>IF('Équipe'!A18="","",'Équipe'!A18)</f>
        <v>0</v>
      </c>
      <c r="B19" s="12">
        <f>IF(A19="","",'Équipe'!B18)</f>
        <v>0</v>
      </c>
      <c r="C19" s="13">
        <f>IF(A19="","",COUNTIF(Planning!$C$2:$C$367,A19))</f>
        <v>0</v>
      </c>
      <c r="D19" s="13">
        <f>IF(A19="","",COUNTIFS(Planning!$C$2:$C$367,A19,Planning!$B$2:$B$367,"Semaine"))</f>
        <v>0</v>
      </c>
      <c r="E19" s="13">
        <f>IF(A19="","",COUNTIFS(Planning!$C$2:$C$367,A19,Planning!$B$2:$B$367,"Samedi"))</f>
        <v>0</v>
      </c>
      <c r="F19" s="13">
        <f>IF(A19="","",COUNTIFS(Planning!$C$2:$C$367,A19,Planning!$B$2:$B$367,"Dimanche"))</f>
        <v>0</v>
      </c>
      <c r="G19" s="13">
        <f>IF(A19="","",COUNTIFS(Planning!$C$2:$C$367,A19,Planning!$B$2:$B$367,"Férié"))</f>
        <v>0</v>
      </c>
      <c r="H19" s="13">
        <f>IF(A19="","",COUNTIF(Planning!$D$2:$D$367,A19))</f>
        <v>0</v>
      </c>
      <c r="I19" s="13">
        <f>IF(A19="","",COUNTIFS(Planning!$D$2:$D$367,A19,Planning!$B$2:$B$367,"Samedi"))</f>
        <v>0</v>
      </c>
      <c r="J19" s="13">
        <f>IF(A19="","",COUNTIFS(Planning!$D$2:$D$367,A19,Planning!$B$2:$B$367,"Dimanche"))</f>
        <v>0</v>
      </c>
      <c r="K19" s="13">
        <f>IF(A19="","",COUNTIFS(Planning!$D$2:$D$367,A19,Planning!$B$2:$B$367,"Férié"))</f>
        <v>0</v>
      </c>
      <c r="L19" s="14">
        <f>IF(OR(A19="",SUM(Quotites)=0),"",COUNTA(Planning!$C$2:$C$367)*B19/SUM(Quotites))</f>
        <v>0</v>
      </c>
      <c r="M19" s="15">
        <f>IF(L19="","",C19-L19)</f>
        <v>0</v>
      </c>
      <c r="N19" s="13">
        <f>IF(A19="","",E19+F19+G19)</f>
        <v>0</v>
      </c>
    </row>
    <row r="20" spans="1:14">
      <c r="A20" s="6">
        <f>IF('Équipe'!A19="","",'Équipe'!A19)</f>
        <v>0</v>
      </c>
      <c r="B20" s="12">
        <f>IF(A20="","",'Équipe'!B19)</f>
        <v>0</v>
      </c>
      <c r="C20" s="13">
        <f>IF(A20="","",COUNTIF(Planning!$C$2:$C$367,A20))</f>
        <v>0</v>
      </c>
      <c r="D20" s="13">
        <f>IF(A20="","",COUNTIFS(Planning!$C$2:$C$367,A20,Planning!$B$2:$B$367,"Semaine"))</f>
        <v>0</v>
      </c>
      <c r="E20" s="13">
        <f>IF(A20="","",COUNTIFS(Planning!$C$2:$C$367,A20,Planning!$B$2:$B$367,"Samedi"))</f>
        <v>0</v>
      </c>
      <c r="F20" s="13">
        <f>IF(A20="","",COUNTIFS(Planning!$C$2:$C$367,A20,Planning!$B$2:$B$367,"Dimanche"))</f>
        <v>0</v>
      </c>
      <c r="G20" s="13">
        <f>IF(A20="","",COUNTIFS(Planning!$C$2:$C$367,A20,Planning!$B$2:$B$367,"Férié"))</f>
        <v>0</v>
      </c>
      <c r="H20" s="13">
        <f>IF(A20="","",COUNTIF(Planning!$D$2:$D$367,A20))</f>
        <v>0</v>
      </c>
      <c r="I20" s="13">
        <f>IF(A20="","",COUNTIFS(Planning!$D$2:$D$367,A20,Planning!$B$2:$B$367,"Samedi"))</f>
        <v>0</v>
      </c>
      <c r="J20" s="13">
        <f>IF(A20="","",COUNTIFS(Planning!$D$2:$D$367,A20,Planning!$B$2:$B$367,"Dimanche"))</f>
        <v>0</v>
      </c>
      <c r="K20" s="13">
        <f>IF(A20="","",COUNTIFS(Planning!$D$2:$D$367,A20,Planning!$B$2:$B$367,"Férié"))</f>
        <v>0</v>
      </c>
      <c r="L20" s="14">
        <f>IF(OR(A20="",SUM(Quotites)=0),"",COUNTA(Planning!$C$2:$C$367)*B20/SUM(Quotites))</f>
        <v>0</v>
      </c>
      <c r="M20" s="15">
        <f>IF(L20="","",C20-L20)</f>
        <v>0</v>
      </c>
      <c r="N20" s="13">
        <f>IF(A20="","",E20+F20+G20)</f>
        <v>0</v>
      </c>
    </row>
    <row r="21" spans="1:14">
      <c r="A21" s="6">
        <f>IF('Équipe'!A20="","",'Équipe'!A20)</f>
        <v>0</v>
      </c>
      <c r="B21" s="12">
        <f>IF(A21="","",'Équipe'!B20)</f>
        <v>0</v>
      </c>
      <c r="C21" s="13">
        <f>IF(A21="","",COUNTIF(Planning!$C$2:$C$367,A21))</f>
        <v>0</v>
      </c>
      <c r="D21" s="13">
        <f>IF(A21="","",COUNTIFS(Planning!$C$2:$C$367,A21,Planning!$B$2:$B$367,"Semaine"))</f>
        <v>0</v>
      </c>
      <c r="E21" s="13">
        <f>IF(A21="","",COUNTIFS(Planning!$C$2:$C$367,A21,Planning!$B$2:$B$367,"Samedi"))</f>
        <v>0</v>
      </c>
      <c r="F21" s="13">
        <f>IF(A21="","",COUNTIFS(Planning!$C$2:$C$367,A21,Planning!$B$2:$B$367,"Dimanche"))</f>
        <v>0</v>
      </c>
      <c r="G21" s="13">
        <f>IF(A21="","",COUNTIFS(Planning!$C$2:$C$367,A21,Planning!$B$2:$B$367,"Férié"))</f>
        <v>0</v>
      </c>
      <c r="H21" s="13">
        <f>IF(A21="","",COUNTIF(Planning!$D$2:$D$367,A21))</f>
        <v>0</v>
      </c>
      <c r="I21" s="13">
        <f>IF(A21="","",COUNTIFS(Planning!$D$2:$D$367,A21,Planning!$B$2:$B$367,"Samedi"))</f>
        <v>0</v>
      </c>
      <c r="J21" s="13">
        <f>IF(A21="","",COUNTIFS(Planning!$D$2:$D$367,A21,Planning!$B$2:$B$367,"Dimanche"))</f>
        <v>0</v>
      </c>
      <c r="K21" s="13">
        <f>IF(A21="","",COUNTIFS(Planning!$D$2:$D$367,A21,Planning!$B$2:$B$367,"Férié"))</f>
        <v>0</v>
      </c>
      <c r="L21" s="14">
        <f>IF(OR(A21="",SUM(Quotites)=0),"",COUNTA(Planning!$C$2:$C$367)*B21/SUM(Quotites))</f>
        <v>0</v>
      </c>
      <c r="M21" s="15">
        <f>IF(L21="","",C21-L21)</f>
        <v>0</v>
      </c>
      <c r="N21" s="13">
        <f>IF(A21="","",E21+F21+G21)</f>
        <v>0</v>
      </c>
    </row>
    <row r="22" spans="1:14">
      <c r="A22" s="6">
        <f>IF('Équipe'!A21="","",'Équipe'!A21)</f>
        <v>0</v>
      </c>
      <c r="B22" s="12">
        <f>IF(A22="","",'Équipe'!B21)</f>
        <v>0</v>
      </c>
      <c r="C22" s="13">
        <f>IF(A22="","",COUNTIF(Planning!$C$2:$C$367,A22))</f>
        <v>0</v>
      </c>
      <c r="D22" s="13">
        <f>IF(A22="","",COUNTIFS(Planning!$C$2:$C$367,A22,Planning!$B$2:$B$367,"Semaine"))</f>
        <v>0</v>
      </c>
      <c r="E22" s="13">
        <f>IF(A22="","",COUNTIFS(Planning!$C$2:$C$367,A22,Planning!$B$2:$B$367,"Samedi"))</f>
        <v>0</v>
      </c>
      <c r="F22" s="13">
        <f>IF(A22="","",COUNTIFS(Planning!$C$2:$C$367,A22,Planning!$B$2:$B$367,"Dimanche"))</f>
        <v>0</v>
      </c>
      <c r="G22" s="13">
        <f>IF(A22="","",COUNTIFS(Planning!$C$2:$C$367,A22,Planning!$B$2:$B$367,"Férié"))</f>
        <v>0</v>
      </c>
      <c r="H22" s="13">
        <f>IF(A22="","",COUNTIF(Planning!$D$2:$D$367,A22))</f>
        <v>0</v>
      </c>
      <c r="I22" s="13">
        <f>IF(A22="","",COUNTIFS(Planning!$D$2:$D$367,A22,Planning!$B$2:$B$367,"Samedi"))</f>
        <v>0</v>
      </c>
      <c r="J22" s="13">
        <f>IF(A22="","",COUNTIFS(Planning!$D$2:$D$367,A22,Planning!$B$2:$B$367,"Dimanche"))</f>
        <v>0</v>
      </c>
      <c r="K22" s="13">
        <f>IF(A22="","",COUNTIFS(Planning!$D$2:$D$367,A22,Planning!$B$2:$B$367,"Férié"))</f>
        <v>0</v>
      </c>
      <c r="L22" s="14">
        <f>IF(OR(A22="",SUM(Quotites)=0),"",COUNTA(Planning!$C$2:$C$367)*B22/SUM(Quotites))</f>
        <v>0</v>
      </c>
      <c r="M22" s="15">
        <f>IF(L22="","",C22-L22)</f>
        <v>0</v>
      </c>
      <c r="N22" s="13">
        <f>IF(A22="","",E22+F22+G22)</f>
        <v>0</v>
      </c>
    </row>
    <row r="23" spans="1:14">
      <c r="A23" s="6">
        <f>IF('Équipe'!A22="","",'Équipe'!A22)</f>
        <v>0</v>
      </c>
      <c r="B23" s="12">
        <f>IF(A23="","",'Équipe'!B22)</f>
        <v>0</v>
      </c>
      <c r="C23" s="13">
        <f>IF(A23="","",COUNTIF(Planning!$C$2:$C$367,A23))</f>
        <v>0</v>
      </c>
      <c r="D23" s="13">
        <f>IF(A23="","",COUNTIFS(Planning!$C$2:$C$367,A23,Planning!$B$2:$B$367,"Semaine"))</f>
        <v>0</v>
      </c>
      <c r="E23" s="13">
        <f>IF(A23="","",COUNTIFS(Planning!$C$2:$C$367,A23,Planning!$B$2:$B$367,"Samedi"))</f>
        <v>0</v>
      </c>
      <c r="F23" s="13">
        <f>IF(A23="","",COUNTIFS(Planning!$C$2:$C$367,A23,Planning!$B$2:$B$367,"Dimanche"))</f>
        <v>0</v>
      </c>
      <c r="G23" s="13">
        <f>IF(A23="","",COUNTIFS(Planning!$C$2:$C$367,A23,Planning!$B$2:$B$367,"Férié"))</f>
        <v>0</v>
      </c>
      <c r="H23" s="13">
        <f>IF(A23="","",COUNTIF(Planning!$D$2:$D$367,A23))</f>
        <v>0</v>
      </c>
      <c r="I23" s="13">
        <f>IF(A23="","",COUNTIFS(Planning!$D$2:$D$367,A23,Planning!$B$2:$B$367,"Samedi"))</f>
        <v>0</v>
      </c>
      <c r="J23" s="13">
        <f>IF(A23="","",COUNTIFS(Planning!$D$2:$D$367,A23,Planning!$B$2:$B$367,"Dimanche"))</f>
        <v>0</v>
      </c>
      <c r="K23" s="13">
        <f>IF(A23="","",COUNTIFS(Planning!$D$2:$D$367,A23,Planning!$B$2:$B$367,"Férié"))</f>
        <v>0</v>
      </c>
      <c r="L23" s="14">
        <f>IF(OR(A23="",SUM(Quotites)=0),"",COUNTA(Planning!$C$2:$C$367)*B23/SUM(Quotites))</f>
        <v>0</v>
      </c>
      <c r="M23" s="15">
        <f>IF(L23="","",C23-L23)</f>
        <v>0</v>
      </c>
      <c r="N23" s="13">
        <f>IF(A23="","",E23+F23+G23)</f>
        <v>0</v>
      </c>
    </row>
    <row r="24" spans="1:14">
      <c r="A24" s="6">
        <f>IF('Équipe'!A23="","",'Équipe'!A23)</f>
        <v>0</v>
      </c>
      <c r="B24" s="12">
        <f>IF(A24="","",'Équipe'!B23)</f>
        <v>0</v>
      </c>
      <c r="C24" s="13">
        <f>IF(A24="","",COUNTIF(Planning!$C$2:$C$367,A24))</f>
        <v>0</v>
      </c>
      <c r="D24" s="13">
        <f>IF(A24="","",COUNTIFS(Planning!$C$2:$C$367,A24,Planning!$B$2:$B$367,"Semaine"))</f>
        <v>0</v>
      </c>
      <c r="E24" s="13">
        <f>IF(A24="","",COUNTIFS(Planning!$C$2:$C$367,A24,Planning!$B$2:$B$367,"Samedi"))</f>
        <v>0</v>
      </c>
      <c r="F24" s="13">
        <f>IF(A24="","",COUNTIFS(Planning!$C$2:$C$367,A24,Planning!$B$2:$B$367,"Dimanche"))</f>
        <v>0</v>
      </c>
      <c r="G24" s="13">
        <f>IF(A24="","",COUNTIFS(Planning!$C$2:$C$367,A24,Planning!$B$2:$B$367,"Férié"))</f>
        <v>0</v>
      </c>
      <c r="H24" s="13">
        <f>IF(A24="","",COUNTIF(Planning!$D$2:$D$367,A24))</f>
        <v>0</v>
      </c>
      <c r="I24" s="13">
        <f>IF(A24="","",COUNTIFS(Planning!$D$2:$D$367,A24,Planning!$B$2:$B$367,"Samedi"))</f>
        <v>0</v>
      </c>
      <c r="J24" s="13">
        <f>IF(A24="","",COUNTIFS(Planning!$D$2:$D$367,A24,Planning!$B$2:$B$367,"Dimanche"))</f>
        <v>0</v>
      </c>
      <c r="K24" s="13">
        <f>IF(A24="","",COUNTIFS(Planning!$D$2:$D$367,A24,Planning!$B$2:$B$367,"Férié"))</f>
        <v>0</v>
      </c>
      <c r="L24" s="14">
        <f>IF(OR(A24="",SUM(Quotites)=0),"",COUNTA(Planning!$C$2:$C$367)*B24/SUM(Quotites))</f>
        <v>0</v>
      </c>
      <c r="M24" s="15">
        <f>IF(L24="","",C24-L24)</f>
        <v>0</v>
      </c>
      <c r="N24" s="13">
        <f>IF(A24="","",E24+F24+G24)</f>
        <v>0</v>
      </c>
    </row>
    <row r="25" spans="1:14">
      <c r="A25" s="6">
        <f>IF('Équipe'!A24="","",'Équipe'!A24)</f>
        <v>0</v>
      </c>
      <c r="B25" s="12">
        <f>IF(A25="","",'Équipe'!B24)</f>
        <v>0</v>
      </c>
      <c r="C25" s="13">
        <f>IF(A25="","",COUNTIF(Planning!$C$2:$C$367,A25))</f>
        <v>0</v>
      </c>
      <c r="D25" s="13">
        <f>IF(A25="","",COUNTIFS(Planning!$C$2:$C$367,A25,Planning!$B$2:$B$367,"Semaine"))</f>
        <v>0</v>
      </c>
      <c r="E25" s="13">
        <f>IF(A25="","",COUNTIFS(Planning!$C$2:$C$367,A25,Planning!$B$2:$B$367,"Samedi"))</f>
        <v>0</v>
      </c>
      <c r="F25" s="13">
        <f>IF(A25="","",COUNTIFS(Planning!$C$2:$C$367,A25,Planning!$B$2:$B$367,"Dimanche"))</f>
        <v>0</v>
      </c>
      <c r="G25" s="13">
        <f>IF(A25="","",COUNTIFS(Planning!$C$2:$C$367,A25,Planning!$B$2:$B$367,"Férié"))</f>
        <v>0</v>
      </c>
      <c r="H25" s="13">
        <f>IF(A25="","",COUNTIF(Planning!$D$2:$D$367,A25))</f>
        <v>0</v>
      </c>
      <c r="I25" s="13">
        <f>IF(A25="","",COUNTIFS(Planning!$D$2:$D$367,A25,Planning!$B$2:$B$367,"Samedi"))</f>
        <v>0</v>
      </c>
      <c r="J25" s="13">
        <f>IF(A25="","",COUNTIFS(Planning!$D$2:$D$367,A25,Planning!$B$2:$B$367,"Dimanche"))</f>
        <v>0</v>
      </c>
      <c r="K25" s="13">
        <f>IF(A25="","",COUNTIFS(Planning!$D$2:$D$367,A25,Planning!$B$2:$B$367,"Férié"))</f>
        <v>0</v>
      </c>
      <c r="L25" s="14">
        <f>IF(OR(A25="",SUM(Quotites)=0),"",COUNTA(Planning!$C$2:$C$367)*B25/SUM(Quotites))</f>
        <v>0</v>
      </c>
      <c r="M25" s="15">
        <f>IF(L25="","",C25-L25)</f>
        <v>0</v>
      </c>
      <c r="N25" s="13">
        <f>IF(A25="","",E25+F25+G25)</f>
        <v>0</v>
      </c>
    </row>
    <row r="26" spans="1:14">
      <c r="A26" s="6">
        <f>IF('Équipe'!A25="","",'Équipe'!A25)</f>
        <v>0</v>
      </c>
      <c r="B26" s="12">
        <f>IF(A26="","",'Équipe'!B25)</f>
        <v>0</v>
      </c>
      <c r="C26" s="13">
        <f>IF(A26="","",COUNTIF(Planning!$C$2:$C$367,A26))</f>
        <v>0</v>
      </c>
      <c r="D26" s="13">
        <f>IF(A26="","",COUNTIFS(Planning!$C$2:$C$367,A26,Planning!$B$2:$B$367,"Semaine"))</f>
        <v>0</v>
      </c>
      <c r="E26" s="13">
        <f>IF(A26="","",COUNTIFS(Planning!$C$2:$C$367,A26,Planning!$B$2:$B$367,"Samedi"))</f>
        <v>0</v>
      </c>
      <c r="F26" s="13">
        <f>IF(A26="","",COUNTIFS(Planning!$C$2:$C$367,A26,Planning!$B$2:$B$367,"Dimanche"))</f>
        <v>0</v>
      </c>
      <c r="G26" s="13">
        <f>IF(A26="","",COUNTIFS(Planning!$C$2:$C$367,A26,Planning!$B$2:$B$367,"Férié"))</f>
        <v>0</v>
      </c>
      <c r="H26" s="13">
        <f>IF(A26="","",COUNTIF(Planning!$D$2:$D$367,A26))</f>
        <v>0</v>
      </c>
      <c r="I26" s="13">
        <f>IF(A26="","",COUNTIFS(Planning!$D$2:$D$367,A26,Planning!$B$2:$B$367,"Samedi"))</f>
        <v>0</v>
      </c>
      <c r="J26" s="13">
        <f>IF(A26="","",COUNTIFS(Planning!$D$2:$D$367,A26,Planning!$B$2:$B$367,"Dimanche"))</f>
        <v>0</v>
      </c>
      <c r="K26" s="13">
        <f>IF(A26="","",COUNTIFS(Planning!$D$2:$D$367,A26,Planning!$B$2:$B$367,"Férié"))</f>
        <v>0</v>
      </c>
      <c r="L26" s="14">
        <f>IF(OR(A26="",SUM(Quotites)=0),"",COUNTA(Planning!$C$2:$C$367)*B26/SUM(Quotites))</f>
        <v>0</v>
      </c>
      <c r="M26" s="15">
        <f>IF(L26="","",C26-L26)</f>
        <v>0</v>
      </c>
      <c r="N26" s="13">
        <f>IF(A26="","",E26+F26+G26)</f>
        <v>0</v>
      </c>
    </row>
    <row r="27" spans="1:14">
      <c r="A27" s="6">
        <f>IF('Équipe'!A26="","",'Équipe'!A26)</f>
        <v>0</v>
      </c>
      <c r="B27" s="12">
        <f>IF(A27="","",'Équipe'!B26)</f>
        <v>0</v>
      </c>
      <c r="C27" s="13">
        <f>IF(A27="","",COUNTIF(Planning!$C$2:$C$367,A27))</f>
        <v>0</v>
      </c>
      <c r="D27" s="13">
        <f>IF(A27="","",COUNTIFS(Planning!$C$2:$C$367,A27,Planning!$B$2:$B$367,"Semaine"))</f>
        <v>0</v>
      </c>
      <c r="E27" s="13">
        <f>IF(A27="","",COUNTIFS(Planning!$C$2:$C$367,A27,Planning!$B$2:$B$367,"Samedi"))</f>
        <v>0</v>
      </c>
      <c r="F27" s="13">
        <f>IF(A27="","",COUNTIFS(Planning!$C$2:$C$367,A27,Planning!$B$2:$B$367,"Dimanche"))</f>
        <v>0</v>
      </c>
      <c r="G27" s="13">
        <f>IF(A27="","",COUNTIFS(Planning!$C$2:$C$367,A27,Planning!$B$2:$B$367,"Férié"))</f>
        <v>0</v>
      </c>
      <c r="H27" s="13">
        <f>IF(A27="","",COUNTIF(Planning!$D$2:$D$367,A27))</f>
        <v>0</v>
      </c>
      <c r="I27" s="13">
        <f>IF(A27="","",COUNTIFS(Planning!$D$2:$D$367,A27,Planning!$B$2:$B$367,"Samedi"))</f>
        <v>0</v>
      </c>
      <c r="J27" s="13">
        <f>IF(A27="","",COUNTIFS(Planning!$D$2:$D$367,A27,Planning!$B$2:$B$367,"Dimanche"))</f>
        <v>0</v>
      </c>
      <c r="K27" s="13">
        <f>IF(A27="","",COUNTIFS(Planning!$D$2:$D$367,A27,Planning!$B$2:$B$367,"Férié"))</f>
        <v>0</v>
      </c>
      <c r="L27" s="14">
        <f>IF(OR(A27="",SUM(Quotites)=0),"",COUNTA(Planning!$C$2:$C$367)*B27/SUM(Quotites))</f>
        <v>0</v>
      </c>
      <c r="M27" s="15">
        <f>IF(L27="","",C27-L27)</f>
        <v>0</v>
      </c>
      <c r="N27" s="13">
        <f>IF(A27="","",E27+F27+G27)</f>
        <v>0</v>
      </c>
    </row>
    <row r="28" spans="1:14">
      <c r="A28" s="6">
        <f>IF('Équipe'!A27="","",'Équipe'!A27)</f>
        <v>0</v>
      </c>
      <c r="B28" s="12">
        <f>IF(A28="","",'Équipe'!B27)</f>
        <v>0</v>
      </c>
      <c r="C28" s="13">
        <f>IF(A28="","",COUNTIF(Planning!$C$2:$C$367,A28))</f>
        <v>0</v>
      </c>
      <c r="D28" s="13">
        <f>IF(A28="","",COUNTIFS(Planning!$C$2:$C$367,A28,Planning!$B$2:$B$367,"Semaine"))</f>
        <v>0</v>
      </c>
      <c r="E28" s="13">
        <f>IF(A28="","",COUNTIFS(Planning!$C$2:$C$367,A28,Planning!$B$2:$B$367,"Samedi"))</f>
        <v>0</v>
      </c>
      <c r="F28" s="13">
        <f>IF(A28="","",COUNTIFS(Planning!$C$2:$C$367,A28,Planning!$B$2:$B$367,"Dimanche"))</f>
        <v>0</v>
      </c>
      <c r="G28" s="13">
        <f>IF(A28="","",COUNTIFS(Planning!$C$2:$C$367,A28,Planning!$B$2:$B$367,"Férié"))</f>
        <v>0</v>
      </c>
      <c r="H28" s="13">
        <f>IF(A28="","",COUNTIF(Planning!$D$2:$D$367,A28))</f>
        <v>0</v>
      </c>
      <c r="I28" s="13">
        <f>IF(A28="","",COUNTIFS(Planning!$D$2:$D$367,A28,Planning!$B$2:$B$367,"Samedi"))</f>
        <v>0</v>
      </c>
      <c r="J28" s="13">
        <f>IF(A28="","",COUNTIFS(Planning!$D$2:$D$367,A28,Planning!$B$2:$B$367,"Dimanche"))</f>
        <v>0</v>
      </c>
      <c r="K28" s="13">
        <f>IF(A28="","",COUNTIFS(Planning!$D$2:$D$367,A28,Planning!$B$2:$B$367,"Férié"))</f>
        <v>0</v>
      </c>
      <c r="L28" s="14">
        <f>IF(OR(A28="",SUM(Quotites)=0),"",COUNTA(Planning!$C$2:$C$367)*B28/SUM(Quotites))</f>
        <v>0</v>
      </c>
      <c r="M28" s="15">
        <f>IF(L28="","",C28-L28)</f>
        <v>0</v>
      </c>
      <c r="N28" s="13">
        <f>IF(A28="","",E28+F28+G28)</f>
        <v>0</v>
      </c>
    </row>
    <row r="29" spans="1:14">
      <c r="A29" s="6">
        <f>IF('Équipe'!A28="","",'Équipe'!A28)</f>
        <v>0</v>
      </c>
      <c r="B29" s="12">
        <f>IF(A29="","",'Équipe'!B28)</f>
        <v>0</v>
      </c>
      <c r="C29" s="13">
        <f>IF(A29="","",COUNTIF(Planning!$C$2:$C$367,A29))</f>
        <v>0</v>
      </c>
      <c r="D29" s="13">
        <f>IF(A29="","",COUNTIFS(Planning!$C$2:$C$367,A29,Planning!$B$2:$B$367,"Semaine"))</f>
        <v>0</v>
      </c>
      <c r="E29" s="13">
        <f>IF(A29="","",COUNTIFS(Planning!$C$2:$C$367,A29,Planning!$B$2:$B$367,"Samedi"))</f>
        <v>0</v>
      </c>
      <c r="F29" s="13">
        <f>IF(A29="","",COUNTIFS(Planning!$C$2:$C$367,A29,Planning!$B$2:$B$367,"Dimanche"))</f>
        <v>0</v>
      </c>
      <c r="G29" s="13">
        <f>IF(A29="","",COUNTIFS(Planning!$C$2:$C$367,A29,Planning!$B$2:$B$367,"Férié"))</f>
        <v>0</v>
      </c>
      <c r="H29" s="13">
        <f>IF(A29="","",COUNTIF(Planning!$D$2:$D$367,A29))</f>
        <v>0</v>
      </c>
      <c r="I29" s="13">
        <f>IF(A29="","",COUNTIFS(Planning!$D$2:$D$367,A29,Planning!$B$2:$B$367,"Samedi"))</f>
        <v>0</v>
      </c>
      <c r="J29" s="13">
        <f>IF(A29="","",COUNTIFS(Planning!$D$2:$D$367,A29,Planning!$B$2:$B$367,"Dimanche"))</f>
        <v>0</v>
      </c>
      <c r="K29" s="13">
        <f>IF(A29="","",COUNTIFS(Planning!$D$2:$D$367,A29,Planning!$B$2:$B$367,"Férié"))</f>
        <v>0</v>
      </c>
      <c r="L29" s="14">
        <f>IF(OR(A29="",SUM(Quotites)=0),"",COUNTA(Planning!$C$2:$C$367)*B29/SUM(Quotites))</f>
        <v>0</v>
      </c>
      <c r="M29" s="15">
        <f>IF(L29="","",C29-L29)</f>
        <v>0</v>
      </c>
      <c r="N29" s="13">
        <f>IF(A29="","",E29+F29+G29)</f>
        <v>0</v>
      </c>
    </row>
    <row r="30" spans="1:14">
      <c r="A30" s="6">
        <f>IF('Équipe'!A29="","",'Équipe'!A29)</f>
        <v>0</v>
      </c>
      <c r="B30" s="12">
        <f>IF(A30="","",'Équipe'!B29)</f>
        <v>0</v>
      </c>
      <c r="C30" s="13">
        <f>IF(A30="","",COUNTIF(Planning!$C$2:$C$367,A30))</f>
        <v>0</v>
      </c>
      <c r="D30" s="13">
        <f>IF(A30="","",COUNTIFS(Planning!$C$2:$C$367,A30,Planning!$B$2:$B$367,"Semaine"))</f>
        <v>0</v>
      </c>
      <c r="E30" s="13">
        <f>IF(A30="","",COUNTIFS(Planning!$C$2:$C$367,A30,Planning!$B$2:$B$367,"Samedi"))</f>
        <v>0</v>
      </c>
      <c r="F30" s="13">
        <f>IF(A30="","",COUNTIFS(Planning!$C$2:$C$367,A30,Planning!$B$2:$B$367,"Dimanche"))</f>
        <v>0</v>
      </c>
      <c r="G30" s="13">
        <f>IF(A30="","",COUNTIFS(Planning!$C$2:$C$367,A30,Planning!$B$2:$B$367,"Férié"))</f>
        <v>0</v>
      </c>
      <c r="H30" s="13">
        <f>IF(A30="","",COUNTIF(Planning!$D$2:$D$367,A30))</f>
        <v>0</v>
      </c>
      <c r="I30" s="13">
        <f>IF(A30="","",COUNTIFS(Planning!$D$2:$D$367,A30,Planning!$B$2:$B$367,"Samedi"))</f>
        <v>0</v>
      </c>
      <c r="J30" s="13">
        <f>IF(A30="","",COUNTIFS(Planning!$D$2:$D$367,A30,Planning!$B$2:$B$367,"Dimanche"))</f>
        <v>0</v>
      </c>
      <c r="K30" s="13">
        <f>IF(A30="","",COUNTIFS(Planning!$D$2:$D$367,A30,Planning!$B$2:$B$367,"Férié"))</f>
        <v>0</v>
      </c>
      <c r="L30" s="14">
        <f>IF(OR(A30="",SUM(Quotites)=0),"",COUNTA(Planning!$C$2:$C$367)*B30/SUM(Quotites))</f>
        <v>0</v>
      </c>
      <c r="M30" s="15">
        <f>IF(L30="","",C30-L30)</f>
        <v>0</v>
      </c>
      <c r="N30" s="13">
        <f>IF(A30="","",E30+F30+G30)</f>
        <v>0</v>
      </c>
    </row>
    <row r="31" spans="1:14">
      <c r="A31" s="6">
        <f>IF('Équipe'!A30="","",'Équipe'!A30)</f>
        <v>0</v>
      </c>
      <c r="B31" s="12">
        <f>IF(A31="","",'Équipe'!B30)</f>
        <v>0</v>
      </c>
      <c r="C31" s="13">
        <f>IF(A31="","",COUNTIF(Planning!$C$2:$C$367,A31))</f>
        <v>0</v>
      </c>
      <c r="D31" s="13">
        <f>IF(A31="","",COUNTIFS(Planning!$C$2:$C$367,A31,Planning!$B$2:$B$367,"Semaine"))</f>
        <v>0</v>
      </c>
      <c r="E31" s="13">
        <f>IF(A31="","",COUNTIFS(Planning!$C$2:$C$367,A31,Planning!$B$2:$B$367,"Samedi"))</f>
        <v>0</v>
      </c>
      <c r="F31" s="13">
        <f>IF(A31="","",COUNTIFS(Planning!$C$2:$C$367,A31,Planning!$B$2:$B$367,"Dimanche"))</f>
        <v>0</v>
      </c>
      <c r="G31" s="13">
        <f>IF(A31="","",COUNTIFS(Planning!$C$2:$C$367,A31,Planning!$B$2:$B$367,"Férié"))</f>
        <v>0</v>
      </c>
      <c r="H31" s="13">
        <f>IF(A31="","",COUNTIF(Planning!$D$2:$D$367,A31))</f>
        <v>0</v>
      </c>
      <c r="I31" s="13">
        <f>IF(A31="","",COUNTIFS(Planning!$D$2:$D$367,A31,Planning!$B$2:$B$367,"Samedi"))</f>
        <v>0</v>
      </c>
      <c r="J31" s="13">
        <f>IF(A31="","",COUNTIFS(Planning!$D$2:$D$367,A31,Planning!$B$2:$B$367,"Dimanche"))</f>
        <v>0</v>
      </c>
      <c r="K31" s="13">
        <f>IF(A31="","",COUNTIFS(Planning!$D$2:$D$367,A31,Planning!$B$2:$B$367,"Férié"))</f>
        <v>0</v>
      </c>
      <c r="L31" s="14">
        <f>IF(OR(A31="",SUM(Quotites)=0),"",COUNTA(Planning!$C$2:$C$367)*B31/SUM(Quotites))</f>
        <v>0</v>
      </c>
      <c r="M31" s="15">
        <f>IF(L31="","",C31-L31)</f>
        <v>0</v>
      </c>
      <c r="N31" s="13">
        <f>IF(A31="","",E31+F31+G31)</f>
        <v>0</v>
      </c>
    </row>
    <row r="32" spans="1:14">
      <c r="A32" s="6">
        <f>IF('Équipe'!A31="","",'Équipe'!A31)</f>
        <v>0</v>
      </c>
      <c r="B32" s="12">
        <f>IF(A32="","",'Équipe'!B31)</f>
        <v>0</v>
      </c>
      <c r="C32" s="13">
        <f>IF(A32="","",COUNTIF(Planning!$C$2:$C$367,A32))</f>
        <v>0</v>
      </c>
      <c r="D32" s="13">
        <f>IF(A32="","",COUNTIFS(Planning!$C$2:$C$367,A32,Planning!$B$2:$B$367,"Semaine"))</f>
        <v>0</v>
      </c>
      <c r="E32" s="13">
        <f>IF(A32="","",COUNTIFS(Planning!$C$2:$C$367,A32,Planning!$B$2:$B$367,"Samedi"))</f>
        <v>0</v>
      </c>
      <c r="F32" s="13">
        <f>IF(A32="","",COUNTIFS(Planning!$C$2:$C$367,A32,Planning!$B$2:$B$367,"Dimanche"))</f>
        <v>0</v>
      </c>
      <c r="G32" s="13">
        <f>IF(A32="","",COUNTIFS(Planning!$C$2:$C$367,A32,Planning!$B$2:$B$367,"Férié"))</f>
        <v>0</v>
      </c>
      <c r="H32" s="13">
        <f>IF(A32="","",COUNTIF(Planning!$D$2:$D$367,A32))</f>
        <v>0</v>
      </c>
      <c r="I32" s="13">
        <f>IF(A32="","",COUNTIFS(Planning!$D$2:$D$367,A32,Planning!$B$2:$B$367,"Samedi"))</f>
        <v>0</v>
      </c>
      <c r="J32" s="13">
        <f>IF(A32="","",COUNTIFS(Planning!$D$2:$D$367,A32,Planning!$B$2:$B$367,"Dimanche"))</f>
        <v>0</v>
      </c>
      <c r="K32" s="13">
        <f>IF(A32="","",COUNTIFS(Planning!$D$2:$D$367,A32,Planning!$B$2:$B$367,"Férié"))</f>
        <v>0</v>
      </c>
      <c r="L32" s="14">
        <f>IF(OR(A32="",SUM(Quotites)=0),"",COUNTA(Planning!$C$2:$C$367)*B32/SUM(Quotites))</f>
        <v>0</v>
      </c>
      <c r="M32" s="15">
        <f>IF(L32="","",C32-L32)</f>
        <v>0</v>
      </c>
      <c r="N32" s="13">
        <f>IF(A32="","",E32+F32+G32)</f>
        <v>0</v>
      </c>
    </row>
    <row r="34" spans="1:1">
      <c r="A34" s="2" t="s">
        <v>66</v>
      </c>
    </row>
  </sheetData>
  <mergeCells count="3">
    <mergeCell ref="C1:G1"/>
    <mergeCell ref="H1:K1"/>
    <mergeCell ref="L1:N1"/>
  </mergeCells>
  <conditionalFormatting sqref="M3:M32">
    <cfRule type="colorScale" priority="1">
      <colorScale>
        <cfvo type="min" val="0"/>
        <cfvo type="num" val="0"/>
        <cfvo type="max" val="0"/>
        <color rgb="FF2E7D32"/>
        <color rgb="FFFFFFFF"/>
        <color rgb="FFC62828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Mode d’emploi</vt:lpstr>
      <vt:lpstr>Paramètres</vt:lpstr>
      <vt:lpstr>Équipe</vt:lpstr>
      <vt:lpstr>Absences</vt:lpstr>
      <vt:lpstr>Fériés</vt:lpstr>
      <vt:lpstr>Planning</vt:lpstr>
      <vt:lpstr>Compteurs</vt:lpstr>
      <vt:lpstr>AbsAu</vt:lpstr>
      <vt:lpstr>AbsDu</vt:lpstr>
      <vt:lpstr>AbsMed</vt:lpstr>
      <vt:lpstr>Debut</vt:lpstr>
      <vt:lpstr>Feries</vt:lpstr>
      <vt:lpstr>Medecins</vt:lpstr>
      <vt:lpstr>Quotites</vt:lpstr>
    </vt:vector>
  </TitlesOfParts>
  <Company>BioSked (Momentum)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Modèle de planning de garde des médecins</dc:title>
  <dc:subject>Planning de garde, compteurs d’équité et contrôles</dc:subject>
  <dc:creator>BioSked</dc:creator>
  <dc:description>Modèle gratuit : https://biosked.com/fr/blog/planning-de-garde-medecins/</dc:description>
  <cp:lastModifiedBy>BioSked</cp:lastModifiedBy>
  <dcterms:created xsi:type="dcterms:W3CDTF">2026-10-04T16:51:54Z</dcterms:created>
  <dcterms:modified xsi:type="dcterms:W3CDTF">2026-10-04T16:51:54Z</dcterms:modified>
</cp:coreProperties>
</file>